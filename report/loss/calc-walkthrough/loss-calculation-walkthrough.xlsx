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lculation" sheetId="2" state="visible" r:id="rId2"/>
    <sheet name="Repair cost"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2">
    <font>
      <name val="Calibri"/>
      <family val="2"/>
      <color theme="1"/>
      <sz val="11"/>
      <scheme val="minor"/>
    </font>
    <font>
      <name val="Arial"/>
      <b val="1"/>
      <sz val="12"/>
    </font>
    <font>
      <name val="Arial"/>
      <i val="1"/>
      <sz val="9"/>
    </font>
    <font>
      <name val="Arial"/>
      <sz val="10"/>
    </font>
    <font>
      <name val="Arial"/>
      <color rgb="000000FF"/>
      <sz val="10"/>
    </font>
    <font>
      <name val="Arial"/>
      <b val="1"/>
      <sz val="10"/>
    </font>
    <font>
      <name val="Arial"/>
      <b val="1"/>
      <sz val="14"/>
    </font>
    <font>
      <name val="Arial"/>
      <b val="1"/>
      <color rgb="00FFFFFF"/>
      <sz val="10"/>
    </font>
    <font>
      <name val="Arial"/>
      <i val="1"/>
      <color rgb="00808080"/>
      <sz val="8"/>
    </font>
    <font>
      <name val="Arial"/>
      <color rgb="00000000"/>
      <sz val="10"/>
    </font>
    <font>
      <name val="Arial"/>
      <sz val="9"/>
    </font>
    <font>
      <name val="Arial"/>
      <b val="1"/>
      <sz val="9"/>
    </font>
  </fonts>
  <fills count="8">
    <fill>
      <patternFill/>
    </fill>
    <fill>
      <patternFill patternType="gray125"/>
    </fill>
    <fill>
      <patternFill patternType="solid">
        <fgColor rgb="00FFFF00"/>
      </patternFill>
    </fill>
    <fill>
      <patternFill patternType="solid">
        <fgColor rgb="0044546A"/>
      </patternFill>
    </fill>
    <fill>
      <patternFill patternType="solid">
        <fgColor rgb="00D9E2F3"/>
      </patternFill>
    </fill>
    <fill>
      <patternFill patternType="solid">
        <fgColor rgb="00FBE2D5"/>
      </patternFill>
    </fill>
    <fill>
      <patternFill patternType="solid">
        <fgColor rgb="00D9EDE3"/>
      </patternFill>
    </fill>
    <fill>
      <patternFill patternType="solid">
        <fgColor rgb="00E7E6E6"/>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5" fillId="0" borderId="0" pivotButton="0" quotePrefix="0" xfId="0"/>
    <xf numFmtId="0" fontId="2" fillId="0" borderId="0" pivotButton="0" quotePrefix="0" xfId="0"/>
    <xf numFmtId="0" fontId="3" fillId="0" borderId="0" pivotButton="0" quotePrefix="0" xfId="0"/>
    <xf numFmtId="3" fontId="4" fillId="2" borderId="0" pivotButton="0" quotePrefix="0" xfId="0"/>
    <xf numFmtId="164" fontId="4" fillId="2" borderId="0" pivotButton="0" quotePrefix="0" xfId="0"/>
    <xf numFmtId="3" fontId="3" fillId="0" borderId="0" pivotButton="0" quotePrefix="0" xfId="0"/>
    <xf numFmtId="3" fontId="5" fillId="0" borderId="0" pivotButton="0" quotePrefix="0" xfId="0"/>
    <xf numFmtId="165" fontId="4" fillId="2" borderId="0" pivotButton="0" quotePrefix="0" xfId="0"/>
    <xf numFmtId="166" fontId="4" fillId="2" borderId="0" pivotButton="0" quotePrefix="0" xfId="0"/>
    <xf numFmtId="3" fontId="6" fillId="0" borderId="0" pivotButton="0" quotePrefix="0" xfId="0"/>
    <xf numFmtId="164" fontId="6" fillId="0" borderId="0" pivotButton="0" quotePrefix="0" xfId="0"/>
    <xf numFmtId="164" fontId="3" fillId="0" borderId="0" pivotButton="0" quotePrefix="0" xfId="0"/>
    <xf numFmtId="0" fontId="7" fillId="3" borderId="0" applyAlignment="1" pivotButton="0" quotePrefix="0" xfId="0">
      <alignment vertical="center" wrapText="1"/>
    </xf>
    <xf numFmtId="0" fontId="7" fillId="3" borderId="0" pivotButton="0" quotePrefix="0" xfId="0"/>
    <xf numFmtId="0" fontId="8" fillId="0" borderId="0" applyAlignment="1" pivotButton="0" quotePrefix="0" xfId="0">
      <alignment vertical="top" wrapText="1"/>
    </xf>
    <xf numFmtId="0" fontId="3" fillId="0" borderId="1" pivotButton="0" quotePrefix="0" xfId="0"/>
    <xf numFmtId="3" fontId="4" fillId="0" borderId="1" pivotButton="0" quotePrefix="0" xfId="0"/>
    <xf numFmtId="167" fontId="4" fillId="0" borderId="1" pivotButton="0" quotePrefix="0" xfId="0"/>
    <xf numFmtId="166" fontId="4" fillId="0" borderId="1" pivotButton="0" quotePrefix="0" xfId="0"/>
    <xf numFmtId="164" fontId="9" fillId="0" borderId="1" pivotButton="0" quotePrefix="0" xfId="0"/>
    <xf numFmtId="164" fontId="4" fillId="0" borderId="1" pivotButton="0" quotePrefix="0" xfId="0"/>
    <xf numFmtId="0" fontId="2" fillId="0" borderId="1" pivotButton="0" quotePrefix="0" xfId="0"/>
    <xf numFmtId="164" fontId="5" fillId="0" borderId="0" pivotButton="0" quotePrefix="0" xfId="0"/>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5" fillId="7" borderId="0" applyAlignment="1" pivotButton="0" quotePrefix="0" xfId="0">
      <alignment horizontal="center" vertical="center"/>
    </xf>
    <xf numFmtId="167" fontId="4" fillId="0" borderId="0" pivotButton="0" quotePrefix="0" xfId="0"/>
    <xf numFmtId="166" fontId="4" fillId="0" borderId="0" pivotButton="0" quotePrefix="0" xfId="0"/>
    <xf numFmtId="164" fontId="9" fillId="0" borderId="0" pivotButton="0" quotePrefix="0" xfId="0"/>
    <xf numFmtId="2" fontId="4" fillId="0" borderId="0" pivotButton="0" quotePrefix="0" xfId="0"/>
    <xf numFmtId="164" fontId="4" fillId="0" borderId="0" pivotButton="0" quotePrefix="0" xfId="0"/>
    <xf numFmtId="1" fontId="4" fillId="0" borderId="0" pivotButton="0" quotePrefix="0" xfId="0"/>
    <xf numFmtId="3" fontId="4"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Claims by settlement ($)</a:t>
            </a:r>
          </a:p>
        </rich>
      </tx>
      <overlay val="0"/>
    </title>
    <plotArea>
      <barChart>
        <barDir val="col"/>
        <grouping val="stacked"/>
        <ser>
          <idx val="0"/>
          <order val="0"/>
          <tx>
            <strRef>
              <f>'Overview'!S3</f>
            </strRef>
          </tx>
          <spPr>
            <a:solidFill>
              <a:srgbClr val="2A78D6"/>
            </a:solidFill>
            <a:ln w="12700">
              <a:solidFill>
                <a:srgbClr val="FFFFFF"/>
              </a:solidFill>
              <a:prstDash val="solid"/>
            </a:ln>
          </spPr>
          <cat>
            <numRef>
              <f>'Overview'!$R$4:$R$11</f>
            </numRef>
          </cat>
          <val>
            <numRef>
              <f>'Overview'!$S$4:$S$11</f>
            </numRef>
          </val>
        </ser>
        <ser>
          <idx val="1"/>
          <order val="1"/>
          <tx>
            <strRef>
              <f>'Overview'!T3</f>
            </strRef>
          </tx>
          <spPr>
            <a:solidFill>
              <a:srgbClr val="EB6834"/>
            </a:solidFill>
            <a:ln w="12700">
              <a:solidFill>
                <a:srgbClr val="FFFFFF"/>
              </a:solidFill>
              <a:prstDash val="solid"/>
            </a:ln>
          </spPr>
          <cat>
            <numRef>
              <f>'Overview'!$R$4:$R$11</f>
            </numRef>
          </cat>
          <val>
            <numRef>
              <f>'Overview'!$T$4:$T$11</f>
            </numRef>
          </val>
        </ser>
        <ser>
          <idx val="2"/>
          <order val="2"/>
          <tx>
            <strRef>
              <f>'Overview'!U3</f>
            </strRef>
          </tx>
          <spPr>
            <a:solidFill>
              <a:srgbClr val="1BAF7A"/>
            </a:solidFill>
            <a:ln w="12700">
              <a:solidFill>
                <a:srgbClr val="FFFFFF"/>
              </a:solidFill>
              <a:prstDash val="solid"/>
            </a:ln>
          </spPr>
          <cat>
            <numRef>
              <f>'Overview'!$R$4:$R$11</f>
            </numRef>
          </cat>
          <val>
            <numRef>
              <f>'Overview'!$U$4:$U$11</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Claims by repair cost ($)</a:t>
            </a:r>
          </a:p>
        </rich>
      </tx>
      <overlay val="0"/>
    </title>
    <plotArea>
      <barChart>
        <barDir val="col"/>
        <grouping val="stacked"/>
        <ser>
          <idx val="0"/>
          <order val="0"/>
          <tx>
            <strRef>
              <f>'Overview'!S14</f>
            </strRef>
          </tx>
          <spPr>
            <a:solidFill>
              <a:srgbClr val="2A78D6"/>
            </a:solidFill>
            <a:ln w="12700">
              <a:solidFill>
                <a:srgbClr val="FFFFFF"/>
              </a:solidFill>
              <a:prstDash val="solid"/>
            </a:ln>
          </spPr>
          <cat>
            <numRef>
              <f>'Overview'!$R$15:$R$22</f>
            </numRef>
          </cat>
          <val>
            <numRef>
              <f>'Overview'!$S$15:$S$22</f>
            </numRef>
          </val>
        </ser>
        <ser>
          <idx val="1"/>
          <order val="1"/>
          <tx>
            <strRef>
              <f>'Overview'!T14</f>
            </strRef>
          </tx>
          <spPr>
            <a:solidFill>
              <a:srgbClr val="EB6834"/>
            </a:solidFill>
            <a:ln w="12700">
              <a:solidFill>
                <a:srgbClr val="FFFFFF"/>
              </a:solidFill>
              <a:prstDash val="solid"/>
            </a:ln>
          </spPr>
          <cat>
            <numRef>
              <f>'Overview'!$R$15:$R$22</f>
            </numRef>
          </cat>
          <val>
            <numRef>
              <f>'Overview'!$T$15:$T$22</f>
            </numRef>
          </val>
        </ser>
        <ser>
          <idx val="2"/>
          <order val="2"/>
          <tx>
            <strRef>
              <f>'Overview'!U14</f>
            </strRef>
          </tx>
          <spPr>
            <a:solidFill>
              <a:srgbClr val="1BAF7A"/>
            </a:solidFill>
            <a:ln w="12700">
              <a:solidFill>
                <a:srgbClr val="FFFFFF"/>
              </a:solidFill>
              <a:prstDash val="solid"/>
            </a:ln>
          </spPr>
          <cat>
            <numRef>
              <f>'Overview'!$R$15:$R$22</f>
            </numRef>
          </cat>
          <val>
            <numRef>
              <f>'Overview'!$U$15:$U$22</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Claims by land cover cap ($)</a:t>
            </a:r>
          </a:p>
        </rich>
      </tx>
      <overlay val="0"/>
    </title>
    <plotArea>
      <barChart>
        <barDir val="col"/>
        <grouping val="stacked"/>
        <ser>
          <idx val="0"/>
          <order val="0"/>
          <tx>
            <strRef>
              <f>'Overview'!S25</f>
            </strRef>
          </tx>
          <spPr>
            <a:solidFill>
              <a:srgbClr val="2A78D6"/>
            </a:solidFill>
            <a:ln w="12700">
              <a:solidFill>
                <a:srgbClr val="FFFFFF"/>
              </a:solidFill>
              <a:prstDash val="solid"/>
            </a:ln>
          </spPr>
          <cat>
            <numRef>
              <f>'Overview'!$R$26:$R$32</f>
            </numRef>
          </cat>
          <val>
            <numRef>
              <f>'Overview'!$S$26:$S$32</f>
            </numRef>
          </val>
        </ser>
        <ser>
          <idx val="1"/>
          <order val="1"/>
          <tx>
            <strRef>
              <f>'Overview'!T25</f>
            </strRef>
          </tx>
          <spPr>
            <a:solidFill>
              <a:srgbClr val="EB6834"/>
            </a:solidFill>
            <a:ln w="12700">
              <a:solidFill>
                <a:srgbClr val="FFFFFF"/>
              </a:solidFill>
              <a:prstDash val="solid"/>
            </a:ln>
          </spPr>
          <cat>
            <numRef>
              <f>'Overview'!$R$26:$R$32</f>
            </numRef>
          </cat>
          <val>
            <numRef>
              <f>'Overview'!$T$26:$T$32</f>
            </numRef>
          </val>
        </ser>
        <ser>
          <idx val="2"/>
          <order val="2"/>
          <tx>
            <strRef>
              <f>'Overview'!U25</f>
            </strRef>
          </tx>
          <spPr>
            <a:solidFill>
              <a:srgbClr val="1BAF7A"/>
            </a:solidFill>
            <a:ln w="12700">
              <a:solidFill>
                <a:srgbClr val="FFFFFF"/>
              </a:solidFill>
              <a:prstDash val="solid"/>
            </a:ln>
          </spPr>
          <cat>
            <numRef>
              <f>'Overview'!$R$26:$R$32</f>
            </numRef>
          </cat>
          <val>
            <numRef>
              <f>'Overview'!$U$26:$U$32</f>
            </numRef>
          </val>
        </ser>
        <gapWidth val="8"/>
        <overlap val="100"/>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Repair cost by line ($)</a:t>
            </a:r>
          </a:p>
        </rich>
      </tx>
      <overlay val="0"/>
    </title>
    <plotArea>
      <barChart>
        <barDir val="col"/>
        <grouping val="clustered"/>
        <ser>
          <idx val="0"/>
          <order val="0"/>
          <tx>
            <strRef>
              <f>'Overview'!S35</f>
            </strRef>
          </tx>
          <spPr>
            <a:solidFill>
              <a:srgbClr val="3B6E8F"/>
            </a:solidFill>
            <a:ln>
              <a:noFill/>
              <a:prstDash val="solid"/>
            </a:ln>
          </spPr>
          <cat>
            <numRef>
              <f>'Overview'!$R$36:$R$41</f>
            </numRef>
          </cat>
          <val>
            <numRef>
              <f>'Overview'!$S$36:$S$41</f>
            </numRef>
          </val>
        </ser>
        <dLbls>
          <showLegendKey val="0"/>
          <showVal val="1"/>
          <showCatName val="0"/>
          <showSerName val="0"/>
        </dLbls>
        <gapWidth val="8"/>
        <axId val="10"/>
        <axId val="100"/>
      </barChart>
      <catAx>
        <axId val="10"/>
        <scaling>
          <orientation val="minMax"/>
        </scaling>
        <delete val="0"/>
        <axPos val="l"/>
        <majorTickMark val="out"/>
        <minorTickMark val="none"/>
        <tickLblPos val="low"/>
        <crossAx val="100"/>
        <lblOffset val="100"/>
      </catAx>
      <valAx>
        <axId val="100"/>
        <scaling>
          <orientation val="minMax"/>
        </scaling>
        <delete val="0"/>
        <axPos val="l"/>
        <majorGridlines/>
        <majorTickMark val="out"/>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558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19</row>
      <rowOff>0</rowOff>
    </from>
    <ext cx="558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37</row>
      <rowOff>0</rowOff>
    </from>
    <ext cx="5580000" cy="324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37</row>
      <rowOff>0</rowOff>
    </from>
    <ext cx="5580000" cy="324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V41"/>
  <sheetViews>
    <sheetView workbookViewId="0">
      <selection activeCell="A1" sqref="A1"/>
    </sheetView>
  </sheetViews>
  <sheetFormatPr baseColWidth="8" defaultRowHeight="15"/>
  <cols>
    <col width="46" customWidth="1" min="1" max="1"/>
    <col width="18" customWidth="1" min="2" max="2"/>
    <col width="24" customWidth="1" min="18" max="18"/>
    <col width="14" customWidth="1" min="19" max="19"/>
  </cols>
  <sheetData>
    <row r="1">
      <c r="A1" s="1" t="inlineStr">
        <is>
          <t>Loss calculation walkthrough</t>
        </is>
      </c>
      <c r="R1" s="2" t="inlineStr">
        <is>
          <t>Chart data</t>
        </is>
      </c>
    </row>
    <row r="2">
      <c r="A2" s="3" t="inlineStr">
        <is>
          <t>Every claim in the run. The Calculation tab works twenty of them through line by line.</t>
        </is>
      </c>
    </row>
    <row r="3">
      <c r="A3" s="4" t="inlineStr">
        <is>
          <t>Area cap (m2)</t>
        </is>
      </c>
      <c r="B3" s="5" t="n">
        <v>4000</v>
      </c>
      <c r="R3" s="2" t="inlineStr">
        <is>
          <t>Claims by settlement ($)</t>
        </is>
      </c>
      <c r="S3" s="2" t="inlineStr">
        <is>
          <t>Liquefaction only</t>
        </is>
      </c>
      <c r="T3" s="2" t="inlineStr">
        <is>
          <t>Retaining wall only</t>
        </is>
      </c>
      <c r="U3" s="2" t="inlineStr">
        <is>
          <t>Both</t>
        </is>
      </c>
      <c r="V3" s="2" t="inlineStr">
        <is>
          <t>Total</t>
        </is>
      </c>
    </row>
    <row r="4">
      <c r="A4" s="4" t="inlineStr">
        <is>
          <t>Retaining wall sub-cap per dwelling, incl GST ($)</t>
        </is>
      </c>
      <c r="B4" s="6" t="n">
        <v>57500</v>
      </c>
      <c r="R4" s="4" t="inlineStr">
        <is>
          <t>0-0.5k</t>
        </is>
      </c>
      <c r="S4" s="7" t="n">
        <v>849</v>
      </c>
      <c r="T4" s="7" t="n">
        <v>0</v>
      </c>
      <c r="U4" s="7" t="n">
        <v>0</v>
      </c>
      <c r="V4" s="8" t="n">
        <v>849</v>
      </c>
    </row>
    <row r="5">
      <c r="A5" s="4" t="inlineStr">
        <is>
          <t>Land excess, share of what is payable</t>
        </is>
      </c>
      <c r="B5" s="9" t="n">
        <v>0.1</v>
      </c>
      <c r="R5" s="4" t="inlineStr">
        <is>
          <t>0.5-1k</t>
        </is>
      </c>
      <c r="S5" s="7" t="n">
        <v>0</v>
      </c>
      <c r="T5" s="7" t="n">
        <v>0</v>
      </c>
      <c r="U5" s="7" t="n">
        <v>0</v>
      </c>
      <c r="V5" s="8" t="n">
        <v>0</v>
      </c>
    </row>
    <row r="6">
      <c r="A6" s="4" t="inlineStr">
        <is>
          <t>Land excess floor, per claim ($)</t>
        </is>
      </c>
      <c r="B6" s="6" t="n">
        <v>500</v>
      </c>
      <c r="R6" s="4" t="inlineStr">
        <is>
          <t>1-2.5k</t>
        </is>
      </c>
      <c r="S6" s="7" t="n">
        <v>676</v>
      </c>
      <c r="T6" s="7" t="n">
        <v>1</v>
      </c>
      <c r="U6" s="7" t="n">
        <v>0</v>
      </c>
      <c r="V6" s="8" t="n">
        <v>677</v>
      </c>
    </row>
    <row r="7">
      <c r="A7" s="4" t="inlineStr">
        <is>
          <t>Land excess ceiling ($)</t>
        </is>
      </c>
      <c r="B7" s="6" t="n">
        <v>5000</v>
      </c>
      <c r="R7" s="4" t="inlineStr">
        <is>
          <t>2.5-5k</t>
        </is>
      </c>
      <c r="S7" s="7" t="n">
        <v>191</v>
      </c>
      <c r="T7" s="7" t="n">
        <v>12</v>
      </c>
      <c r="U7" s="7" t="n">
        <v>4</v>
      </c>
      <c r="V7" s="8" t="n">
        <v>207</v>
      </c>
    </row>
    <row r="8">
      <c r="A8" s="4" t="inlineStr">
        <is>
          <t>Timber pole average rate, for reference ($/m2)</t>
        </is>
      </c>
      <c r="B8" s="10" t="n">
        <v>766.6375</v>
      </c>
      <c r="R8" s="4" t="inlineStr">
        <is>
          <t>5-10k</t>
        </is>
      </c>
      <c r="S8" s="7" t="n">
        <v>0</v>
      </c>
      <c r="T8" s="7" t="n">
        <v>59</v>
      </c>
      <c r="U8" s="7" t="n">
        <v>14</v>
      </c>
      <c r="V8" s="8" t="n">
        <v>73</v>
      </c>
    </row>
    <row r="9">
      <c r="A9" s="4" t="inlineStr">
        <is>
          <t>GST rate</t>
        </is>
      </c>
      <c r="B9" s="9" t="n">
        <v>0.15</v>
      </c>
      <c r="R9" s="4" t="inlineStr">
        <is>
          <t>10-25k</t>
        </is>
      </c>
      <c r="S9" s="7" t="n">
        <v>0</v>
      </c>
      <c r="T9" s="7" t="n">
        <v>290</v>
      </c>
      <c r="U9" s="7" t="n">
        <v>76</v>
      </c>
      <c r="V9" s="8" t="n">
        <v>366</v>
      </c>
    </row>
    <row r="10">
      <c r="A10" s="2" t="inlineStr">
        <is>
          <t>Across the whole run</t>
        </is>
      </c>
      <c r="R10" s="4" t="inlineStr">
        <is>
          <t>25-50k</t>
        </is>
      </c>
      <c r="S10" s="7" t="n">
        <v>0</v>
      </c>
      <c r="T10" s="7" t="n">
        <v>70</v>
      </c>
      <c r="U10" s="7" t="n">
        <v>28</v>
      </c>
      <c r="V10" s="8" t="n">
        <v>98</v>
      </c>
    </row>
    <row r="11">
      <c r="A11" s="4" t="inlineStr">
        <is>
          <t>Claims</t>
        </is>
      </c>
      <c r="B11" s="11" t="n">
        <v>4388</v>
      </c>
      <c r="R11" s="4" t="inlineStr">
        <is>
          <t>over 50k</t>
        </is>
      </c>
      <c r="S11" s="7" t="n">
        <v>0</v>
      </c>
      <c r="T11" s="7" t="n">
        <v>2</v>
      </c>
      <c r="U11" s="7" t="n">
        <v>11</v>
      </c>
      <c r="V11" s="8" t="n">
        <v>13</v>
      </c>
    </row>
    <row r="12">
      <c r="A12" s="4" t="inlineStr">
        <is>
          <t>Claims paid anything</t>
        </is>
      </c>
      <c r="B12" s="11" t="n">
        <v>2283</v>
      </c>
    </row>
    <row r="13">
      <c r="A13" s="4" t="inlineStr">
        <is>
          <t>Total settlement ($)</t>
        </is>
      </c>
      <c r="B13" s="12" t="n">
        <v>13028775.83955245</v>
      </c>
    </row>
    <row r="14">
      <c r="A14" s="4" t="inlineStr">
        <is>
          <t>Median settlement, of those paid ($)</t>
        </is>
      </c>
      <c r="B14" s="13" t="n">
        <v>1225</v>
      </c>
      <c r="R14" s="2" t="inlineStr">
        <is>
          <t>Claims by repair cost ($)</t>
        </is>
      </c>
      <c r="S14" s="2" t="inlineStr">
        <is>
          <t>Liquefaction only</t>
        </is>
      </c>
      <c r="T14" s="2" t="inlineStr">
        <is>
          <t>Retaining wall only</t>
        </is>
      </c>
      <c r="U14" s="2" t="inlineStr">
        <is>
          <t>Both</t>
        </is>
      </c>
      <c r="V14" s="2" t="inlineStr">
        <is>
          <t>Total</t>
        </is>
      </c>
    </row>
    <row r="15">
      <c r="A15" s="4" t="inlineStr">
        <is>
          <t>Total repair cost ($)</t>
        </is>
      </c>
      <c r="B15" s="13" t="n">
        <v>20735243.5630001</v>
      </c>
      <c r="R15" s="4" t="inlineStr">
        <is>
          <t>0-0.5k</t>
        </is>
      </c>
      <c r="S15" s="7" t="n">
        <v>635</v>
      </c>
      <c r="T15" s="7" t="n">
        <v>0</v>
      </c>
      <c r="U15" s="7" t="n">
        <v>0</v>
      </c>
      <c r="V15" s="8" t="n">
        <v>635</v>
      </c>
    </row>
    <row r="16">
      <c r="A16" s="4" t="inlineStr">
        <is>
          <t>Claims where the cap binds and there is damaged land</t>
        </is>
      </c>
      <c r="B16" s="7" t="n">
        <v>11</v>
      </c>
      <c r="R16" s="4" t="inlineStr">
        <is>
          <t>0.5-1k</t>
        </is>
      </c>
      <c r="S16" s="7" t="n">
        <v>849</v>
      </c>
      <c r="T16" s="7" t="n">
        <v>0</v>
      </c>
      <c r="U16" s="7" t="n">
        <v>0</v>
      </c>
      <c r="V16" s="8" t="n">
        <v>849</v>
      </c>
    </row>
    <row r="17">
      <c r="R17" s="4" t="inlineStr">
        <is>
          <t>1-2.5k</t>
        </is>
      </c>
      <c r="S17" s="7" t="n">
        <v>581</v>
      </c>
      <c r="T17" s="7" t="n">
        <v>0</v>
      </c>
      <c r="U17" s="7" t="n">
        <v>0</v>
      </c>
      <c r="V17" s="8" t="n">
        <v>581</v>
      </c>
    </row>
    <row r="18">
      <c r="A18" s="3" t="inlineStr">
        <is>
          <t>The cap binds on many more claims than that, but only these have damaged land. On the rest the cap is the wall's value and the repair is that value plus the allowances, so it caps by arithmetic rather than as a result.</t>
        </is>
      </c>
      <c r="R18" s="4" t="inlineStr">
        <is>
          <t>2.5-5k</t>
        </is>
      </c>
      <c r="S18" s="7" t="n">
        <v>286</v>
      </c>
      <c r="T18" s="7" t="n">
        <v>0</v>
      </c>
      <c r="U18" s="7" t="n">
        <v>0</v>
      </c>
      <c r="V18" s="8" t="n">
        <v>286</v>
      </c>
    </row>
    <row r="19">
      <c r="R19" s="4" t="inlineStr">
        <is>
          <t>5-10k</t>
        </is>
      </c>
      <c r="S19" s="7" t="n">
        <v>0</v>
      </c>
      <c r="T19" s="7" t="n">
        <v>1</v>
      </c>
      <c r="U19" s="7" t="n">
        <v>1</v>
      </c>
      <c r="V19" s="8" t="n">
        <v>2</v>
      </c>
    </row>
    <row r="20">
      <c r="R20" s="4" t="inlineStr">
        <is>
          <t>10-25k</t>
        </is>
      </c>
      <c r="S20" s="7" t="n">
        <v>0</v>
      </c>
      <c r="T20" s="7" t="n">
        <v>146</v>
      </c>
      <c r="U20" s="7" t="n">
        <v>77</v>
      </c>
      <c r="V20" s="8" t="n">
        <v>223</v>
      </c>
    </row>
    <row r="21">
      <c r="R21" s="4" t="inlineStr">
        <is>
          <t>25-50k</t>
        </is>
      </c>
      <c r="S21" s="7" t="n">
        <v>0</v>
      </c>
      <c r="T21" s="7" t="n">
        <v>248</v>
      </c>
      <c r="U21" s="7" t="n">
        <v>42</v>
      </c>
      <c r="V21" s="8" t="n">
        <v>290</v>
      </c>
    </row>
    <row r="22">
      <c r="R22" s="4" t="inlineStr">
        <is>
          <t>over 50k</t>
        </is>
      </c>
      <c r="S22" s="7" t="n">
        <v>0</v>
      </c>
      <c r="T22" s="7" t="n">
        <v>40</v>
      </c>
      <c r="U22" s="7" t="n">
        <v>13</v>
      </c>
      <c r="V22" s="8" t="n">
        <v>53</v>
      </c>
    </row>
    <row r="25">
      <c r="R25" s="2" t="inlineStr">
        <is>
          <t>Claims by land cover cap ($)</t>
        </is>
      </c>
      <c r="S25" s="2" t="inlineStr">
        <is>
          <t>Liquefaction only</t>
        </is>
      </c>
      <c r="T25" s="2" t="inlineStr">
        <is>
          <t>Retaining wall only</t>
        </is>
      </c>
      <c r="U25" s="2" t="inlineStr">
        <is>
          <t>Both</t>
        </is>
      </c>
      <c r="V25" s="2" t="inlineStr">
        <is>
          <t>Total</t>
        </is>
      </c>
    </row>
    <row r="26">
      <c r="R26" s="4" t="inlineStr">
        <is>
          <t>0-100k</t>
        </is>
      </c>
      <c r="S26" s="7" t="n">
        <v>1</v>
      </c>
      <c r="T26" s="7" t="n">
        <v>434</v>
      </c>
      <c r="U26" s="7" t="n">
        <v>33</v>
      </c>
      <c r="V26" s="8" t="n">
        <v>468</v>
      </c>
    </row>
    <row r="27">
      <c r="R27" s="4" t="inlineStr">
        <is>
          <t>100-250k</t>
        </is>
      </c>
      <c r="S27" s="7" t="n">
        <v>104</v>
      </c>
      <c r="T27" s="7" t="n">
        <v>1</v>
      </c>
      <c r="U27" s="7" t="n">
        <v>14</v>
      </c>
      <c r="V27" s="8" t="n">
        <v>119</v>
      </c>
    </row>
    <row r="28">
      <c r="R28" s="4" t="inlineStr">
        <is>
          <t>250-500k</t>
        </is>
      </c>
      <c r="S28" s="7" t="n">
        <v>660</v>
      </c>
      <c r="T28" s="7" t="n">
        <v>0</v>
      </c>
      <c r="U28" s="7" t="n">
        <v>39</v>
      </c>
      <c r="V28" s="8" t="n">
        <v>699</v>
      </c>
    </row>
    <row r="29">
      <c r="R29" s="4" t="inlineStr">
        <is>
          <t>500-750k</t>
        </is>
      </c>
      <c r="S29" s="7" t="n">
        <v>537</v>
      </c>
      <c r="T29" s="7" t="n">
        <v>0</v>
      </c>
      <c r="U29" s="7" t="n">
        <v>28</v>
      </c>
      <c r="V29" s="8" t="n">
        <v>565</v>
      </c>
    </row>
    <row r="30">
      <c r="R30" s="4" t="inlineStr">
        <is>
          <t>750k-1m</t>
        </is>
      </c>
      <c r="S30" s="7" t="n">
        <v>221</v>
      </c>
      <c r="T30" s="7" t="n">
        <v>0</v>
      </c>
      <c r="U30" s="7" t="n">
        <v>9</v>
      </c>
      <c r="V30" s="8" t="n">
        <v>230</v>
      </c>
    </row>
    <row r="31">
      <c r="R31" s="4" t="inlineStr">
        <is>
          <t>1-2m</t>
        </is>
      </c>
      <c r="S31" s="7" t="n">
        <v>128</v>
      </c>
      <c r="T31" s="7" t="n">
        <v>0</v>
      </c>
      <c r="U31" s="7" t="n">
        <v>3</v>
      </c>
      <c r="V31" s="8" t="n">
        <v>131</v>
      </c>
    </row>
    <row r="32">
      <c r="R32" s="4" t="inlineStr">
        <is>
          <t>over 2m</t>
        </is>
      </c>
      <c r="S32" s="7" t="n">
        <v>65</v>
      </c>
      <c r="T32" s="7" t="n">
        <v>0</v>
      </c>
      <c r="U32" s="7" t="n">
        <v>7</v>
      </c>
      <c r="V32" s="8" t="n">
        <v>72</v>
      </c>
    </row>
    <row r="35">
      <c r="R35" s="2" t="inlineStr">
        <is>
          <t>Repair cost by line ($)</t>
        </is>
      </c>
      <c r="S35" s="2" t="inlineStr">
        <is>
          <t>Total ($)</t>
        </is>
      </c>
    </row>
    <row r="36">
      <c r="R36" s="4" t="inlineStr">
        <is>
          <t>Walls replaced</t>
        </is>
      </c>
      <c r="S36" s="13" t="n">
        <v>12632219.9596685</v>
      </c>
    </row>
    <row r="37">
      <c r="R37" s="4" t="inlineStr">
        <is>
          <t>New walls</t>
        </is>
      </c>
      <c r="S37" s="13" t="n">
        <v>1114733.43972548</v>
      </c>
    </row>
    <row r="38">
      <c r="R38" s="4" t="inlineStr">
        <is>
          <t>Spoil cleared</t>
        </is>
      </c>
      <c r="S38" s="13" t="n">
        <v>492687.6636061204</v>
      </c>
    </row>
    <row r="39">
      <c r="R39" s="4" t="inlineStr">
        <is>
          <t>Fees</t>
        </is>
      </c>
      <c r="S39" s="13" t="n">
        <v>3562987.5</v>
      </c>
    </row>
    <row r="40">
      <c r="R40" s="4" t="inlineStr">
        <is>
          <t>Liquefaction</t>
        </is>
      </c>
      <c r="S40" s="13" t="n">
        <v>2932615</v>
      </c>
    </row>
    <row r="41">
      <c r="R41" s="4" t="inlineStr">
        <is>
          <t>Crossings</t>
        </is>
      </c>
      <c r="S41" s="13"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6"/>
  <sheetViews>
    <sheetView workbookViewId="0">
      <pane xSplit="1" ySplit="13" topLeftCell="B14"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9" customWidth="1" min="3" max="3"/>
    <col width="20" customWidth="1" min="4" max="4"/>
    <col width="15" customWidth="1" min="5" max="5"/>
    <col width="14" customWidth="1" min="6" max="6"/>
    <col width="15" customWidth="1" min="7" max="7"/>
    <col width="17" customWidth="1" min="8" max="8"/>
    <col width="15" customWidth="1" min="9" max="9"/>
    <col width="16" customWidth="1" min="10" max="10"/>
    <col width="12" customWidth="1" min="11" max="11"/>
    <col width="15" customWidth="1" min="12" max="12"/>
    <col width="28" customWidth="1" min="13" max="13"/>
  </cols>
  <sheetData>
    <row r="1">
      <c r="A1" s="1" t="inlineStr">
        <is>
          <t>Loss calculation walkthrough</t>
        </is>
      </c>
    </row>
    <row r="2">
      <c r="A2" s="3" t="inlineStr">
        <is>
          <t>Twenty claims chosen to show one of each case, not sampled at random. Yellow cells are the policy settings the run used.</t>
        </is>
      </c>
    </row>
    <row r="3">
      <c r="A3" s="4" t="inlineStr">
        <is>
          <t>Area cap (m2)</t>
        </is>
      </c>
      <c r="B3" s="5" t="n">
        <v>4000</v>
      </c>
    </row>
    <row r="4">
      <c r="A4" s="4" t="inlineStr">
        <is>
          <t>Retaining wall sub-cap per dwelling, incl GST ($)</t>
        </is>
      </c>
      <c r="B4" s="6" t="n">
        <v>57500</v>
      </c>
    </row>
    <row r="5">
      <c r="A5" s="4" t="inlineStr">
        <is>
          <t>Land excess, share of what is payable</t>
        </is>
      </c>
      <c r="B5" s="9" t="n">
        <v>0.1</v>
      </c>
    </row>
    <row r="6">
      <c r="A6" s="4" t="inlineStr">
        <is>
          <t>Land excess floor, per claim ($)</t>
        </is>
      </c>
      <c r="B6" s="6" t="n">
        <v>500</v>
      </c>
    </row>
    <row r="7">
      <c r="A7" s="4" t="inlineStr">
        <is>
          <t>Land excess ceiling ($)</t>
        </is>
      </c>
      <c r="B7" s="6" t="n">
        <v>5000</v>
      </c>
    </row>
    <row r="8">
      <c r="A8" s="4" t="inlineStr">
        <is>
          <t>Timber pole average rate, for reference ($/m2)</t>
        </is>
      </c>
      <c r="B8" s="10" t="n">
        <v>766.6375</v>
      </c>
    </row>
    <row r="9">
      <c r="A9" s="4" t="inlineStr">
        <is>
          <t>GST rate</t>
        </is>
      </c>
      <c r="B9" s="9" t="n">
        <v>0.15</v>
      </c>
    </row>
    <row r="12" ht="30" customHeight="1">
      <c r="A12" s="14" t="inlineStr">
        <is>
          <t>Claim</t>
        </is>
      </c>
      <c r="B12" s="14" t="inlineStr">
        <is>
          <t>Dwellings</t>
        </is>
      </c>
      <c r="C12" s="14" t="inlineStr">
        <is>
          <t>Damaged land, for the cap (m2)</t>
        </is>
      </c>
      <c r="D12" s="14" t="inlineStr">
        <is>
          <t>Land rate incl GST ($/m2)</t>
        </is>
      </c>
      <c r="E12" s="14" t="inlineStr">
        <is>
          <t>Land value ($)</t>
        </is>
      </c>
      <c r="F12" s="14" t="inlineStr">
        <is>
          <t>Wall UDV ($)</t>
        </is>
      </c>
      <c r="G12" s="14" t="inlineStr">
        <is>
          <t>Wall to cap ($)</t>
        </is>
      </c>
      <c r="H12" s="14" t="inlineStr">
        <is>
          <t>Land cover cap ($)</t>
        </is>
      </c>
      <c r="I12" s="14" t="inlineStr">
        <is>
          <t>Repair cost ($)</t>
        </is>
      </c>
      <c r="J12" s="14" t="inlineStr">
        <is>
          <t>Payable before excess ($)</t>
        </is>
      </c>
      <c r="K12" s="14" t="inlineStr">
        <is>
          <t>Excess ($)</t>
        </is>
      </c>
      <c r="L12" s="14" t="inlineStr">
        <is>
          <t>Settlement ($)</t>
        </is>
      </c>
      <c r="M12" s="15" t="inlineStr">
        <is>
          <t>Why this claim</t>
        </is>
      </c>
    </row>
    <row r="13" ht="26" customHeight="1">
      <c r="A13" s="16" t="inlineStr"/>
      <c r="B13" s="16" t="inlineStr"/>
      <c r="C13" s="16" t="inlineStr">
        <is>
          <t>whole insured area where liquefied, else the slip</t>
        </is>
      </c>
      <c r="D13" s="16" t="inlineStr"/>
      <c r="E13" s="16" t="inlineStr">
        <is>
          <t>MIN(damaged land, area cap) x land rate</t>
        </is>
      </c>
      <c r="F13" s="16" t="inlineStr">
        <is>
          <t>face area x wall rate x GST; see the Repair cost tab</t>
        </is>
      </c>
      <c r="G13" s="16" t="inlineStr">
        <is>
          <t>MIN(wall UDV, sub-cap x dwellings)</t>
        </is>
      </c>
      <c r="H13" s="16" t="inlineStr">
        <is>
          <t>land value + wall to cap</t>
        </is>
      </c>
      <c r="I13" s="16" t="inlineStr"/>
      <c r="J13" s="16" t="inlineStr">
        <is>
          <t>MIN(repair cost, cap) -- the Act pays the lesser</t>
        </is>
      </c>
      <c r="K13" s="16" t="inlineStr">
        <is>
          <t>a share of what is payable, floored and capped</t>
        </is>
      </c>
      <c r="L13" s="16" t="inlineStr">
        <is>
          <t>payable less the excess, never below zero</t>
        </is>
      </c>
    </row>
    <row r="14">
      <c r="A14" s="17" t="inlineStr">
        <is>
          <t>03dc0301-b79a-4927-9dc7-cd7e95fc9aaf</t>
        </is>
      </c>
      <c r="B14" s="18" t="n">
        <v>1</v>
      </c>
      <c r="C14" s="19" t="n">
        <v>3.994276433826656</v>
      </c>
      <c r="D14" s="20" t="n">
        <v>906.9153731669335</v>
      </c>
      <c r="E14" s="21">
        <f>MIN(C14,$B$3)*D14</f>
        <v/>
      </c>
      <c r="F14" s="22" t="n">
        <v>10148.85819035451</v>
      </c>
      <c r="G14" s="21">
        <f>MIN(F14,$B$4*B14)</f>
        <v/>
      </c>
      <c r="H14" s="21">
        <f>E14+G14</f>
        <v/>
      </c>
      <c r="I14" s="22" t="n">
        <v>19270.86462891322</v>
      </c>
      <c r="J14" s="21">
        <f>MIN(I14,H14)</f>
        <v/>
      </c>
      <c r="K14" s="21">
        <f>MIN(MAX(J14*$B$5,$B$6),$B$7)*(J14&gt;0)</f>
        <v/>
      </c>
      <c r="L14" s="21">
        <f>MAX(0,J14-K14)</f>
        <v/>
      </c>
      <c r="M14" s="23" t="inlineStr">
        <is>
          <t>the cap binds</t>
        </is>
      </c>
    </row>
    <row r="15">
      <c r="A15" s="17" t="inlineStr">
        <is>
          <t>331011f8-ce50-46ad-9aeb-03fffa6c8506</t>
        </is>
      </c>
      <c r="B15" s="18" t="n">
        <v>1</v>
      </c>
      <c r="C15" s="19" t="n">
        <v>11.61980777911261</v>
      </c>
      <c r="D15" s="20" t="n">
        <v>875.2256394431051</v>
      </c>
      <c r="E15" s="21">
        <f>MIN(C15,$B$3)*D15</f>
        <v/>
      </c>
      <c r="F15" s="22" t="n">
        <v>20611.85976716434</v>
      </c>
      <c r="G15" s="21">
        <f>MIN(F15,$B$4*B15)</f>
        <v/>
      </c>
      <c r="H15" s="21">
        <f>E15+G15</f>
        <v/>
      </c>
      <c r="I15" s="22" t="n">
        <v>35189.11647868678</v>
      </c>
      <c r="J15" s="21">
        <f>MIN(I15,H15)</f>
        <v/>
      </c>
      <c r="K15" s="21">
        <f>MIN(MAX(J15*$B$5,$B$6),$B$7)*(J15&gt;0)</f>
        <v/>
      </c>
      <c r="L15" s="21">
        <f>MAX(0,J15-K15)</f>
        <v/>
      </c>
      <c r="M15" s="23" t="inlineStr">
        <is>
          <t>the cap binds</t>
        </is>
      </c>
    </row>
    <row r="16">
      <c r="A16" s="17" t="inlineStr">
        <is>
          <t>36df7f1f-d454-4fd8-9751-1db3ad4e883a</t>
        </is>
      </c>
      <c r="B16" s="18" t="n">
        <v>1</v>
      </c>
      <c r="C16" s="19" t="n">
        <v>5.254910674327313</v>
      </c>
      <c r="D16" s="20" t="n">
        <v>1033.806982141251</v>
      </c>
      <c r="E16" s="21">
        <f>MIN(C16,$B$3)*D16</f>
        <v/>
      </c>
      <c r="F16" s="22" t="n">
        <v>0</v>
      </c>
      <c r="G16" s="21">
        <f>MIN(F16,$B$4*B16)</f>
        <v/>
      </c>
      <c r="H16" s="21">
        <f>E16+G16</f>
        <v/>
      </c>
      <c r="I16" s="22" t="n">
        <v>13180.26851261497</v>
      </c>
      <c r="J16" s="21">
        <f>MIN(I16,H16)</f>
        <v/>
      </c>
      <c r="K16" s="21">
        <f>MIN(MAX(J16*$B$5,$B$6),$B$7)*(J16&gt;0)</f>
        <v/>
      </c>
      <c r="L16" s="21">
        <f>MAX(0,J16-K16)</f>
        <v/>
      </c>
      <c r="M16" s="23" t="inlineStr">
        <is>
          <t>the cap binds</t>
        </is>
      </c>
    </row>
    <row r="17">
      <c r="A17" s="17" t="inlineStr">
        <is>
          <t>3c9cb87a-ae7d-4616-b2f0-ffff94a2930b</t>
        </is>
      </c>
      <c r="B17" s="18" t="n">
        <v>1</v>
      </c>
      <c r="C17" s="19" t="n">
        <v>83.99693044062862</v>
      </c>
      <c r="D17" s="20" t="n">
        <v>952.5188914254333</v>
      </c>
      <c r="E17" s="21">
        <f>MIN(C17,$B$3)*D17</f>
        <v/>
      </c>
      <c r="F17" s="22" t="n">
        <v>0</v>
      </c>
      <c r="G17" s="21">
        <f>MIN(F17,$B$4*B17)</f>
        <v/>
      </c>
      <c r="H17" s="21">
        <f>E17+G17</f>
        <v/>
      </c>
      <c r="I17" s="22" t="n">
        <v>80862.94611326513</v>
      </c>
      <c r="J17" s="21">
        <f>MIN(I17,H17)</f>
        <v/>
      </c>
      <c r="K17" s="21">
        <f>MIN(MAX(J17*$B$5,$B$6),$B$7)*(J17&gt;0)</f>
        <v/>
      </c>
      <c r="L17" s="21">
        <f>MAX(0,J17-K17)</f>
        <v/>
      </c>
      <c r="M17" s="23" t="inlineStr">
        <is>
          <t>the cap binds</t>
        </is>
      </c>
    </row>
    <row r="18">
      <c r="A18" s="17" t="inlineStr">
        <is>
          <t>06953c1e-a185-4880-a3e8-203ab7d4220a</t>
        </is>
      </c>
      <c r="B18" s="18" t="n">
        <v>5</v>
      </c>
      <c r="C18" s="19" t="n">
        <v>31.56185795826037</v>
      </c>
      <c r="D18" s="20" t="n">
        <v>1215.255114101618</v>
      </c>
      <c r="E18" s="21">
        <f>MIN(C18,$B$3)*D18</f>
        <v/>
      </c>
      <c r="F18" s="22" t="n">
        <v>0</v>
      </c>
      <c r="G18" s="21">
        <f>MIN(F18,$B$4*B18)</f>
        <v/>
      </c>
      <c r="H18" s="21">
        <f>E18+G18</f>
        <v/>
      </c>
      <c r="I18" s="22" t="n">
        <v>35022.68729108902</v>
      </c>
      <c r="J18" s="21">
        <f>MIN(I18,H18)</f>
        <v/>
      </c>
      <c r="K18" s="21">
        <f>MIN(MAX(J18*$B$5,$B$6),$B$7)*(J18&gt;0)</f>
        <v/>
      </c>
      <c r="L18" s="21">
        <f>MAX(0,J18-K18)</f>
        <v/>
      </c>
      <c r="M18" s="23" t="inlineStr">
        <is>
          <t>landslide, new wall built</t>
        </is>
      </c>
    </row>
    <row r="19">
      <c r="A19" s="17" t="inlineStr">
        <is>
          <t>0af1f540-21f2-4654-97ed-047e9a0d7e42</t>
        </is>
      </c>
      <c r="B19" s="18" t="n">
        <v>1</v>
      </c>
      <c r="C19" s="19" t="n">
        <v>356.3788137462104</v>
      </c>
      <c r="D19" s="20" t="n">
        <v>1845.735003003669</v>
      </c>
      <c r="E19" s="21">
        <f>MIN(C19,$B$3)*D19</f>
        <v/>
      </c>
      <c r="F19" s="22" t="n">
        <v>0</v>
      </c>
      <c r="G19" s="21">
        <f>MIN(F19,$B$4*B19)</f>
        <v/>
      </c>
      <c r="H19" s="21">
        <f>E19+G19</f>
        <v/>
      </c>
      <c r="I19" s="22" t="n">
        <v>13021.69635199619</v>
      </c>
      <c r="J19" s="21">
        <f>MIN(I19,H19)</f>
        <v/>
      </c>
      <c r="K19" s="21">
        <f>MIN(MAX(J19*$B$5,$B$6),$B$7)*(J19&gt;0)</f>
        <v/>
      </c>
      <c r="L19" s="21">
        <f>MAX(0,J19-K19)</f>
        <v/>
      </c>
      <c r="M19" s="23" t="inlineStr">
        <is>
          <t>landslide, new wall built</t>
        </is>
      </c>
    </row>
    <row r="20">
      <c r="A20" s="17" t="inlineStr">
        <is>
          <t>0bc8522b-2de5-402b-b82e-ebb534151ee9</t>
        </is>
      </c>
      <c r="B20" s="18" t="n">
        <v>4</v>
      </c>
      <c r="C20" s="19" t="n">
        <v>336.6041633096748</v>
      </c>
      <c r="D20" s="20" t="n">
        <v>1750.105740634113</v>
      </c>
      <c r="E20" s="21">
        <f>MIN(C20,$B$3)*D20</f>
        <v/>
      </c>
      <c r="F20" s="22" t="n">
        <v>0</v>
      </c>
      <c r="G20" s="21">
        <f>MIN(F20,$B$4*B20)</f>
        <v/>
      </c>
      <c r="H20" s="21">
        <f>E20+G20</f>
        <v/>
      </c>
      <c r="I20" s="22" t="n">
        <v>25993.90490796956</v>
      </c>
      <c r="J20" s="21">
        <f>MIN(I20,H20)</f>
        <v/>
      </c>
      <c r="K20" s="21">
        <f>MIN(MAX(J20*$B$5,$B$6),$B$7)*(J20&gt;0)</f>
        <v/>
      </c>
      <c r="L20" s="21">
        <f>MAX(0,J20-K20)</f>
        <v/>
      </c>
      <c r="M20" s="23" t="inlineStr">
        <is>
          <t>landslide, new wall built</t>
        </is>
      </c>
    </row>
    <row r="21">
      <c r="A21" s="17" t="inlineStr">
        <is>
          <t>0fb3766f-33f4-4b9d-95c4-74dbfc6876dd</t>
        </is>
      </c>
      <c r="B21" s="18" t="n">
        <v>9</v>
      </c>
      <c r="C21" s="19" t="n">
        <v>34.1265011384118</v>
      </c>
      <c r="D21" s="20" t="n">
        <v>2173.314579577944</v>
      </c>
      <c r="E21" s="21">
        <f>MIN(C21,$B$3)*D21</f>
        <v/>
      </c>
      <c r="F21" s="22" t="n">
        <v>0</v>
      </c>
      <c r="G21" s="21">
        <f>MIN(F21,$B$4*B21)</f>
        <v/>
      </c>
      <c r="H21" s="21">
        <f>E21+G21</f>
        <v/>
      </c>
      <c r="I21" s="22" t="n">
        <v>31894.31770122754</v>
      </c>
      <c r="J21" s="21">
        <f>MIN(I21,H21)</f>
        <v/>
      </c>
      <c r="K21" s="21">
        <f>MIN(MAX(J21*$B$5,$B$6),$B$7)*(J21&gt;0)</f>
        <v/>
      </c>
      <c r="L21" s="21">
        <f>MAX(0,J21-K21)</f>
        <v/>
      </c>
      <c r="M21" s="23" t="inlineStr">
        <is>
          <t>landslide, new wall built</t>
        </is>
      </c>
    </row>
    <row r="22">
      <c r="A22" s="17" t="inlineStr">
        <is>
          <t>0035a155-c4d3-4860-80e0-6c17481b3d61</t>
        </is>
      </c>
      <c r="B22" s="18" t="n">
        <v>1</v>
      </c>
      <c r="C22" s="19" t="n">
        <v>0</v>
      </c>
      <c r="D22" s="20" t="n">
        <v>1125.800303002638</v>
      </c>
      <c r="E22" s="21">
        <f>MIN(C22,$B$3)*D22</f>
        <v/>
      </c>
      <c r="F22" s="22" t="n">
        <v>6586.879167817168</v>
      </c>
      <c r="G22" s="21">
        <f>MIN(F22,$B$4*B22)</f>
        <v/>
      </c>
      <c r="H22" s="21">
        <f>E22+G22</f>
        <v/>
      </c>
      <c r="I22" s="22" t="n">
        <v>13769.2550013806</v>
      </c>
      <c r="J22" s="21">
        <f>MIN(I22,H22)</f>
        <v/>
      </c>
      <c r="K22" s="21">
        <f>MIN(MAX(J22*$B$5,$B$6),$B$7)*(J22&gt;0)</f>
        <v/>
      </c>
      <c r="L22" s="21">
        <f>MAX(0,J22-K22)</f>
        <v/>
      </c>
      <c r="M22" s="23" t="inlineStr">
        <is>
          <t>damaged wall</t>
        </is>
      </c>
    </row>
    <row r="23">
      <c r="A23" s="17" t="inlineStr">
        <is>
          <t>00745333-cf86-4178-8cf6-cd6f9d7d5cbd</t>
        </is>
      </c>
      <c r="B23" s="18" t="n">
        <v>2</v>
      </c>
      <c r="C23" s="19" t="n">
        <v>0</v>
      </c>
      <c r="D23" s="20" t="n">
        <v>990.5549772618464</v>
      </c>
      <c r="E23" s="21">
        <f>MIN(C23,$B$3)*D23</f>
        <v/>
      </c>
      <c r="F23" s="22" t="n">
        <v>14005.11883356654</v>
      </c>
      <c r="G23" s="21">
        <f>MIN(F23,$B$4*B23)</f>
        <v/>
      </c>
      <c r="H23" s="21">
        <f>E23+G23</f>
        <v/>
      </c>
      <c r="I23" s="22" t="n">
        <v>23804.69973029384</v>
      </c>
      <c r="J23" s="21">
        <f>MIN(I23,H23)</f>
        <v/>
      </c>
      <c r="K23" s="21">
        <f>MIN(MAX(J23*$B$5,$B$6),$B$7)*(J23&gt;0)</f>
        <v/>
      </c>
      <c r="L23" s="21">
        <f>MAX(0,J23-K23)</f>
        <v/>
      </c>
      <c r="M23" s="23" t="inlineStr">
        <is>
          <t>damaged wall</t>
        </is>
      </c>
    </row>
    <row r="24">
      <c r="A24" s="17" t="inlineStr">
        <is>
          <t>00a83d76-9c9c-4d92-8d56-b16f1336cabb</t>
        </is>
      </c>
      <c r="B24" s="18" t="n">
        <v>1</v>
      </c>
      <c r="C24" s="19" t="n">
        <v>0</v>
      </c>
      <c r="D24" s="20" t="n">
        <v>909.0124673749219</v>
      </c>
      <c r="E24" s="21">
        <f>MIN(C24,$B$3)*D24</f>
        <v/>
      </c>
      <c r="F24" s="22" t="n">
        <v>12561.54185059131</v>
      </c>
      <c r="G24" s="21">
        <f>MIN(F24,$B$4*B24)</f>
        <v/>
      </c>
      <c r="H24" s="21">
        <f>E24+G24</f>
        <v/>
      </c>
      <c r="I24" s="22" t="n">
        <v>23032.73524278052</v>
      </c>
      <c r="J24" s="21">
        <f>MIN(I24,H24)</f>
        <v/>
      </c>
      <c r="K24" s="21">
        <f>MIN(MAX(J24*$B$5,$B$6),$B$7)*(J24&gt;0)</f>
        <v/>
      </c>
      <c r="L24" s="21">
        <f>MAX(0,J24-K24)</f>
        <v/>
      </c>
      <c r="M24" s="23" t="inlineStr">
        <is>
          <t>damaged wall</t>
        </is>
      </c>
    </row>
    <row r="25">
      <c r="A25" s="17" t="inlineStr">
        <is>
          <t>01b4d137-3ac2-408b-9de3-c572fc374ef4</t>
        </is>
      </c>
      <c r="B25" s="18" t="n">
        <v>1</v>
      </c>
      <c r="C25" s="19" t="n">
        <v>472.2458906978015</v>
      </c>
      <c r="D25" s="20" t="n">
        <v>1669.724652985133</v>
      </c>
      <c r="E25" s="21">
        <f>MIN(C25,$B$3)*D25</f>
        <v/>
      </c>
      <c r="F25" s="22" t="n">
        <v>19240.15194310633</v>
      </c>
      <c r="G25" s="21">
        <f>MIN(F25,$B$4*B25)</f>
        <v/>
      </c>
      <c r="H25" s="21">
        <f>E25+G25</f>
        <v/>
      </c>
      <c r="I25" s="22" t="n">
        <v>30975.84144831398</v>
      </c>
      <c r="J25" s="21">
        <f>MIN(I25,H25)</f>
        <v/>
      </c>
      <c r="K25" s="21">
        <f>MIN(MAX(J25*$B$5,$B$6),$B$7)*(J25&gt;0)</f>
        <v/>
      </c>
      <c r="L25" s="21">
        <f>MAX(0,J25-K25)</f>
        <v/>
      </c>
      <c r="M25" s="23" t="inlineStr">
        <is>
          <t>damaged wall</t>
        </is>
      </c>
    </row>
    <row r="26">
      <c r="A26" s="17" t="inlineStr">
        <is>
          <t>0017e6f7-95ee-4d2a-8bff-569d98d70ec8</t>
        </is>
      </c>
      <c r="B26" s="18" t="n">
        <v>29</v>
      </c>
      <c r="C26" s="19" t="n">
        <v>2824.033182987902</v>
      </c>
      <c r="D26" s="20" t="n">
        <v>1908.027810002991</v>
      </c>
      <c r="E26" s="21">
        <f>MIN(C26,$B$3)*D26</f>
        <v/>
      </c>
      <c r="F26" s="22" t="n">
        <v>0</v>
      </c>
      <c r="G26" s="21">
        <f>MIN(F26,$B$4*B26)</f>
        <v/>
      </c>
      <c r="H26" s="21">
        <f>E26+G26</f>
        <v/>
      </c>
      <c r="I26" s="22" t="n">
        <v>4600</v>
      </c>
      <c r="J26" s="21">
        <f>MIN(I26,H26)</f>
        <v/>
      </c>
      <c r="K26" s="21">
        <f>MIN(MAX(J26*$B$5,$B$6),$B$7)*(J26&gt;0)</f>
        <v/>
      </c>
      <c r="L26" s="21">
        <f>MAX(0,J26-K26)</f>
        <v/>
      </c>
      <c r="M26" s="23" t="inlineStr">
        <is>
          <t>liquefaction only</t>
        </is>
      </c>
    </row>
    <row r="27">
      <c r="A27" s="17" t="inlineStr">
        <is>
          <t>00191a75-aed6-4265-a79b-faa275f0040c</t>
        </is>
      </c>
      <c r="B27" s="18" t="n">
        <v>1</v>
      </c>
      <c r="C27" s="19" t="n">
        <v>286.0372101473818</v>
      </c>
      <c r="D27" s="20" t="n">
        <v>1891.519728815266</v>
      </c>
      <c r="E27" s="21">
        <f>MIN(C27,$B$3)*D27</f>
        <v/>
      </c>
      <c r="F27" s="22" t="n">
        <v>0</v>
      </c>
      <c r="G27" s="21">
        <f>MIN(F27,$B$4*B27)</f>
        <v/>
      </c>
      <c r="H27" s="21">
        <f>E27+G27</f>
        <v/>
      </c>
      <c r="I27" s="22" t="n">
        <v>1725</v>
      </c>
      <c r="J27" s="21">
        <f>MIN(I27,H27)</f>
        <v/>
      </c>
      <c r="K27" s="21">
        <f>MIN(MAX(J27*$B$5,$B$6),$B$7)*(J27&gt;0)</f>
        <v/>
      </c>
      <c r="L27" s="21">
        <f>MAX(0,J27-K27)</f>
        <v/>
      </c>
      <c r="M27" s="23" t="inlineStr">
        <is>
          <t>liquefaction only</t>
        </is>
      </c>
    </row>
    <row r="28">
      <c r="A28" s="17" t="inlineStr">
        <is>
          <t>001e2f9c-9846-4a4d-aff2-1de9e7b091c7</t>
        </is>
      </c>
      <c r="B28" s="18" t="n">
        <v>1</v>
      </c>
      <c r="C28" s="19" t="n">
        <v>192.3987560767283</v>
      </c>
      <c r="D28" s="20" t="n">
        <v>1603.475556633135</v>
      </c>
      <c r="E28" s="21">
        <f>MIN(C28,$B$3)*D28</f>
        <v/>
      </c>
      <c r="F28" s="22" t="n">
        <v>0</v>
      </c>
      <c r="G28" s="21">
        <f>MIN(F28,$B$4*B28)</f>
        <v/>
      </c>
      <c r="H28" s="21">
        <f>E28+G28</f>
        <v/>
      </c>
      <c r="I28" s="22" t="n">
        <v>1725</v>
      </c>
      <c r="J28" s="21">
        <f>MIN(I28,H28)</f>
        <v/>
      </c>
      <c r="K28" s="21">
        <f>MIN(MAX(J28*$B$5,$B$6),$B$7)*(J28&gt;0)</f>
        <v/>
      </c>
      <c r="L28" s="21">
        <f>MAX(0,J28-K28)</f>
        <v/>
      </c>
      <c r="M28" s="23" t="inlineStr">
        <is>
          <t>liquefaction only</t>
        </is>
      </c>
    </row>
    <row r="29">
      <c r="A29" s="17" t="inlineStr">
        <is>
          <t>0055aa62-333d-49e8-8a1b-4277448835ed</t>
        </is>
      </c>
      <c r="B29" s="18" t="n">
        <v>5</v>
      </c>
      <c r="C29" s="19" t="n">
        <v>212.7684182341731</v>
      </c>
      <c r="D29" s="20" t="n">
        <v>1832.043468426193</v>
      </c>
      <c r="E29" s="21">
        <f>MIN(C29,$B$3)*D29</f>
        <v/>
      </c>
      <c r="F29" s="22" t="n">
        <v>0</v>
      </c>
      <c r="G29" s="21">
        <f>MIN(F29,$B$4*B29)</f>
        <v/>
      </c>
      <c r="H29" s="21">
        <f>E29+G29</f>
        <v/>
      </c>
      <c r="I29" s="22" t="n">
        <v>575</v>
      </c>
      <c r="J29" s="21">
        <f>MIN(I29,H29)</f>
        <v/>
      </c>
      <c r="K29" s="21">
        <f>MIN(MAX(J29*$B$5,$B$6),$B$7)*(J29&gt;0)</f>
        <v/>
      </c>
      <c r="L29" s="21">
        <f>MAX(0,J29-K29)</f>
        <v/>
      </c>
      <c r="M29" s="23" t="inlineStr">
        <is>
          <t>liquefaction only</t>
        </is>
      </c>
    </row>
    <row r="30">
      <c r="A30" s="17" t="inlineStr">
        <is>
          <t>002e15d9-b27f-4a99-b94d-703b11215eab</t>
        </is>
      </c>
      <c r="B30" s="18" t="n">
        <v>3</v>
      </c>
      <c r="C30" s="19" t="n">
        <v>0</v>
      </c>
      <c r="D30" s="20" t="n">
        <v>816.216729440072</v>
      </c>
      <c r="E30" s="21">
        <f>MIN(C30,$B$3)*D30</f>
        <v/>
      </c>
      <c r="F30" s="22" t="n">
        <v>0</v>
      </c>
      <c r="G30" s="21">
        <f>MIN(F30,$B$4*B30)</f>
        <v/>
      </c>
      <c r="H30" s="21">
        <f>E30+G30</f>
        <v/>
      </c>
      <c r="I30" s="22" t="n">
        <v>0</v>
      </c>
      <c r="J30" s="21">
        <f>MIN(I30,H30)</f>
        <v/>
      </c>
      <c r="K30" s="21">
        <f>MIN(MAX(J30*$B$5,$B$6),$B$7)*(J30&gt;0)</f>
        <v/>
      </c>
      <c r="L30" s="21">
        <f>MAX(0,J30-K30)</f>
        <v/>
      </c>
      <c r="M30" s="23" t="inlineStr">
        <is>
          <t>several dwellings</t>
        </is>
      </c>
    </row>
    <row r="31">
      <c r="A31" s="17" t="inlineStr">
        <is>
          <t>0120d782-7901-4838-9ae8-012ec8626771</t>
        </is>
      </c>
      <c r="B31" s="18" t="n">
        <v>2</v>
      </c>
      <c r="C31" s="19" t="n">
        <v>0</v>
      </c>
      <c r="D31" s="20" t="n">
        <v>1691.829478035887</v>
      </c>
      <c r="E31" s="21">
        <f>MIN(C31,$B$3)*D31</f>
        <v/>
      </c>
      <c r="F31" s="22" t="n">
        <v>0</v>
      </c>
      <c r="G31" s="21">
        <f>MIN(F31,$B$4*B31)</f>
        <v/>
      </c>
      <c r="H31" s="21">
        <f>E31+G31</f>
        <v/>
      </c>
      <c r="I31" s="22" t="n">
        <v>230</v>
      </c>
      <c r="J31" s="21">
        <f>MIN(I31,H31)</f>
        <v/>
      </c>
      <c r="K31" s="21">
        <f>MIN(MAX(J31*$B$5,$B$6),$B$7)*(J31&gt;0)</f>
        <v/>
      </c>
      <c r="L31" s="21">
        <f>MAX(0,J31-K31)</f>
        <v/>
      </c>
      <c r="M31" s="23" t="inlineStr">
        <is>
          <t>paid nothing, excess took it</t>
        </is>
      </c>
    </row>
    <row r="32">
      <c r="A32" s="17" t="inlineStr">
        <is>
          <t>012c131a-dea5-4ece-8e66-1e6f0f73959e</t>
        </is>
      </c>
      <c r="B32" s="18" t="n">
        <v>1</v>
      </c>
      <c r="C32" s="19" t="n">
        <v>0</v>
      </c>
      <c r="D32" s="20" t="n">
        <v>1982.685871232275</v>
      </c>
      <c r="E32" s="21">
        <f>MIN(C32,$B$3)*D32</f>
        <v/>
      </c>
      <c r="F32" s="22" t="n">
        <v>0</v>
      </c>
      <c r="G32" s="21">
        <f>MIN(F32,$B$4*B32)</f>
        <v/>
      </c>
      <c r="H32" s="21">
        <f>E32+G32</f>
        <v/>
      </c>
      <c r="I32" s="22" t="n">
        <v>230</v>
      </c>
      <c r="J32" s="21">
        <f>MIN(I32,H32)</f>
        <v/>
      </c>
      <c r="K32" s="21">
        <f>MIN(MAX(J32*$B$5,$B$6),$B$7)*(J32&gt;0)</f>
        <v/>
      </c>
      <c r="L32" s="21">
        <f>MAX(0,J32-K32)</f>
        <v/>
      </c>
      <c r="M32" s="23" t="inlineStr">
        <is>
          <t>paid nothing, excess took it</t>
        </is>
      </c>
    </row>
    <row r="33">
      <c r="A33" s="17" t="inlineStr">
        <is>
          <t>015ac9d8-763d-4df5-b585-423b129c132f</t>
        </is>
      </c>
      <c r="B33" s="18" t="n">
        <v>1</v>
      </c>
      <c r="C33" s="19" t="n">
        <v>0</v>
      </c>
      <c r="D33" s="20" t="n">
        <v>1772.056809778281</v>
      </c>
      <c r="E33" s="21">
        <f>MIN(C33,$B$3)*D33</f>
        <v/>
      </c>
      <c r="F33" s="22" t="n">
        <v>0</v>
      </c>
      <c r="G33" s="21">
        <f>MIN(F33,$B$4*B33)</f>
        <v/>
      </c>
      <c r="H33" s="21">
        <f>E33+G33</f>
        <v/>
      </c>
      <c r="I33" s="22" t="n">
        <v>230</v>
      </c>
      <c r="J33" s="21">
        <f>MIN(I33,H33)</f>
        <v/>
      </c>
      <c r="K33" s="21">
        <f>MIN(MAX(J33*$B$5,$B$6),$B$7)*(J33&gt;0)</f>
        <v/>
      </c>
      <c r="L33" s="21">
        <f>MAX(0,J33-K33)</f>
        <v/>
      </c>
      <c r="M33" s="23" t="inlineStr">
        <is>
          <t>paid nothing, excess took it</t>
        </is>
      </c>
    </row>
    <row r="34">
      <c r="A34" s="2" t="inlineStr">
        <is>
          <t>Total, these 20 claims</t>
        </is>
      </c>
      <c r="E34" s="24">
        <f>SUM(E14:E33)</f>
        <v/>
      </c>
      <c r="F34" s="24">
        <f>SUM(F14:F33)</f>
        <v/>
      </c>
      <c r="H34" s="24">
        <f>SUM(H14:H33)</f>
        <v/>
      </c>
      <c r="I34" s="24">
        <f>SUM(I14:I33)</f>
        <v/>
      </c>
      <c r="J34" s="24">
        <f>SUM(J14:J33)</f>
        <v/>
      </c>
      <c r="K34" s="24">
        <f>SUM(K14:K33)</f>
        <v/>
      </c>
      <c r="L34" s="24">
        <f>SUM(L14:L33)</f>
        <v/>
      </c>
    </row>
    <row r="36">
      <c r="A36" s="3" t="inlineStr">
        <is>
          <t>Black cells are live formulas and blue ones are inputs. Change a yellow setting above -- the excess rate, its ceiling, the area cap -- and every row and the totals follow. How a wall was priced is on the Repair cost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4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13" customWidth="1" min="3" max="3"/>
    <col width="14" customWidth="1" min="4" max="4"/>
    <col width="14" customWidth="1" min="5" max="5"/>
    <col width="12" customWidth="1" min="6" max="6"/>
    <col width="13" customWidth="1" min="7" max="7"/>
    <col width="11" customWidth="1" min="8" max="8"/>
    <col width="12" customWidth="1" min="9" max="9"/>
    <col width="12" customWidth="1" min="10" max="10"/>
    <col width="14" customWidth="1" min="11" max="11"/>
    <col width="12" customWidth="1" min="12" max="12"/>
    <col width="13" customWidth="1" min="13" max="13"/>
    <col width="15" customWidth="1" min="14" max="14"/>
    <col width="18" customWidth="1" min="15" max="15"/>
    <col width="11" customWidth="1" min="16" max="16"/>
    <col width="12" customWidth="1" min="17" max="17"/>
    <col width="12" customWidth="1" min="18" max="18"/>
    <col width="12" customWidth="1" min="19" max="19"/>
    <col width="16" customWidth="1" min="20" max="20"/>
    <col width="15" customWidth="1" min="21" max="21"/>
    <col width="14" customWidth="1" min="22" max="22"/>
    <col width="17" customWidth="1" min="23" max="23"/>
    <col width="13" customWidth="1" min="24" max="24"/>
    <col width="14" customWidth="1" min="25" max="25"/>
    <col width="10" customWidth="1" min="26" max="26"/>
    <col width="13" customWidth="1" min="27" max="27"/>
    <col width="16" customWidth="1" min="28" max="28"/>
    <col width="10" customWidth="1" min="29" max="29"/>
    <col width="13" customWidth="1" min="30" max="30"/>
    <col width="15" customWidth="1" min="31" max="31"/>
    <col width="12" customWidth="1" min="32" max="32"/>
    <col width="16" customWidth="1" min="33" max="33"/>
    <col width="15" customWidth="1" min="34" max="34"/>
    <col width="13" customWidth="1" min="35" max="35"/>
    <col width="13" customWidth="1" min="36" max="36"/>
    <col width="14" customWidth="1" min="37" max="37"/>
    <col width="13" customWidth="1" min="38" max="38"/>
    <col width="12" customWidth="1" min="39" max="39"/>
    <col width="15" customWidth="1" min="40" max="40"/>
    <col width="15" customWidth="1" min="41" max="41"/>
  </cols>
  <sheetData>
    <row r="1">
      <c r="A1" s="1" t="inlineStr">
        <is>
          <t>What is damaged, what it is worth, what repairing it costs</t>
        </is>
      </c>
    </row>
    <row r="2">
      <c r="A2" s="3" t="inlineStr">
        <is>
          <t>One asset per block. Every dollar excludes GST until block D adds it once; the land values are market values, to which GST does not apply.</t>
        </is>
      </c>
    </row>
    <row r="4" ht="18" customHeight="1">
      <c r="B4" s="25" t="inlineStr">
        <is>
          <t>A. Landslide land damage</t>
        </is>
      </c>
      <c r="O4" s="26" t="inlineStr">
        <is>
          <t>B. Retaining wall damage</t>
        </is>
      </c>
      <c r="V4" s="27" t="inlineStr">
        <is>
          <t>C. Liquefaction damage</t>
        </is>
      </c>
      <c r="AC4" s="28" t="inlineStr">
        <is>
          <t>D. What is paid</t>
        </is>
      </c>
    </row>
    <row r="5" ht="52" customHeight="1">
      <c r="A5" s="14" t="inlineStr">
        <is>
          <t>Claim</t>
        </is>
      </c>
      <c r="B5" s="14" t="inlineStr">
        <is>
          <t>Evacuated land (m2)</t>
        </is>
      </c>
      <c r="C5" s="14" t="inlineStr">
        <is>
          <t>Inundated land (m2)</t>
        </is>
      </c>
      <c r="D5" s="14" t="inlineStr">
        <is>
          <t>Imminent damage (m2) - not modelled yet</t>
        </is>
      </c>
      <c r="E5" s="14" t="inlineStr">
        <is>
          <t>Total damaged land (m2)</t>
        </is>
      </c>
      <c r="F5" s="14" t="inlineStr">
        <is>
          <t>Land rate ($/m2)</t>
        </is>
      </c>
      <c r="G5" s="14" t="inlineStr">
        <is>
          <t>Value of damaged land ($)</t>
        </is>
      </c>
      <c r="H5" s="14" t="inlineStr">
        <is>
          <t>New RTW size</t>
        </is>
      </c>
      <c r="I5" s="14" t="inlineStr">
        <is>
          <t>New RTW height (m)</t>
        </is>
      </c>
      <c r="J5" s="14" t="inlineStr">
        <is>
          <t>New RTW length (m)</t>
        </is>
      </c>
      <c r="K5" s="14" t="inlineStr">
        <is>
          <t>New RTW to hold it ($)</t>
        </is>
      </c>
      <c r="L5" s="14" t="inlineStr">
        <is>
          <t>Spoil to clear (m3)</t>
        </is>
      </c>
      <c r="M5" s="14" t="inlineStr">
        <is>
          <t>Spoil removal ($)</t>
        </is>
      </c>
      <c r="N5" s="14" t="inlineStr">
        <is>
          <t>A. Landslide repair ($)</t>
        </is>
      </c>
      <c r="O5" s="14" t="inlineStr">
        <is>
          <t>What damaged it</t>
        </is>
      </c>
      <c r="P5" s="14" t="inlineStr">
        <is>
          <t>RTW size</t>
        </is>
      </c>
      <c r="Q5" s="14" t="inlineStr">
        <is>
          <t>RTW height (m)</t>
        </is>
      </c>
      <c r="R5" s="14" t="inlineStr">
        <is>
          <t>RTW length (m)</t>
        </is>
      </c>
      <c r="S5" s="14" t="inlineStr">
        <is>
          <t>RTW rate ($/m2)</t>
        </is>
      </c>
      <c r="T5" s="14" t="inlineStr">
        <is>
          <t>RTW undepreciated value ($)</t>
        </is>
      </c>
      <c r="U5" s="14" t="inlineStr">
        <is>
          <t>B. RTW replacement ($)</t>
        </is>
      </c>
      <c r="V5" s="14" t="inlineStr">
        <is>
          <t>Inundated land (m2) - not sent</t>
        </is>
      </c>
      <c r="W5" s="14" t="inlineStr">
        <is>
          <t>Evacuated land, with lateral spreading (m2) - not sent</t>
        </is>
      </c>
      <c r="X5" s="14" t="inlineStr">
        <is>
          <t>Liquefied land (m2)</t>
        </is>
      </c>
      <c r="Y5" s="14" t="inlineStr">
        <is>
          <t>Total insured land (m2)</t>
        </is>
      </c>
      <c r="Z5" s="14" t="inlineStr">
        <is>
          <t>Damage state</t>
        </is>
      </c>
      <c r="AA5" s="14" t="inlineStr">
        <is>
          <t>Value of liquefied land ($)</t>
        </is>
      </c>
      <c r="AB5" s="14" t="inlineStr">
        <is>
          <t>C. Liquefaction repair ($)</t>
        </is>
      </c>
      <c r="AC5" s="14" t="inlineStr">
        <is>
          <t>Dwellings</t>
        </is>
      </c>
      <c r="AD5" s="14" t="inlineStr">
        <is>
          <t>Professional fees ($)</t>
        </is>
      </c>
      <c r="AE5" s="14" t="inlineStr">
        <is>
          <t>Total repair, excl GST ($)</t>
        </is>
      </c>
      <c r="AF5" s="14" t="inlineStr">
        <is>
          <t>GST ($)</t>
        </is>
      </c>
      <c r="AG5" s="14" t="inlineStr">
        <is>
          <t>Culvert or bridge at its sub-cap ($)</t>
        </is>
      </c>
      <c r="AH5" s="14" t="inlineStr">
        <is>
          <t>Total repair, incl GST ($)</t>
        </is>
      </c>
      <c r="AI5" s="14" t="inlineStr">
        <is>
          <t>Cap: land value ($)</t>
        </is>
      </c>
      <c r="AJ5" s="14" t="inlineStr">
        <is>
          <t>Cap: RTW value ($)</t>
        </is>
      </c>
      <c r="AK5" s="14" t="inlineStr">
        <is>
          <t>Land cover cap ($)</t>
        </is>
      </c>
      <c r="AL5" s="14" t="inlineStr">
        <is>
          <t>Cost to pay ($)</t>
        </is>
      </c>
      <c r="AM5" s="14" t="inlineStr">
        <is>
          <t>Excess ($)</t>
        </is>
      </c>
      <c r="AN5" s="14" t="inlineStr">
        <is>
          <t>Settlement, incl GST ($)</t>
        </is>
      </c>
      <c r="AO5" s="14" t="inlineStr">
        <is>
          <t>Settlement, excl GST ($)</t>
        </is>
      </c>
    </row>
    <row r="6">
      <c r="A6" s="4" t="inlineStr">
        <is>
          <t>03dc0301-b79a-4927-9dc7-cd7e95fc9aaf</t>
        </is>
      </c>
      <c r="B6" s="29" t="n">
        <v>0</v>
      </c>
      <c r="C6" s="29" t="n">
        <v>3.994276433826656</v>
      </c>
      <c r="D6" s="29" t="n"/>
      <c r="E6" s="29" t="n">
        <v>3.994276433826656</v>
      </c>
      <c r="F6" s="30" t="n">
        <v>906.9153731669335</v>
      </c>
      <c r="G6" s="31">
        <f>MIN(E6,Calculation!$B$3)*F6</f>
        <v/>
      </c>
      <c r="H6" s="4" t="inlineStr"/>
      <c r="I6" s="32" t="n">
        <v>0</v>
      </c>
      <c r="J6" s="29" t="n">
        <v>0</v>
      </c>
      <c r="K6" s="33" t="n">
        <v>0</v>
      </c>
      <c r="L6" s="29" t="n">
        <v>1.884367009081398</v>
      </c>
      <c r="M6" s="33" t="n">
        <v>282.6550513622097</v>
      </c>
      <c r="N6" s="31">
        <f>K6+M6</f>
        <v/>
      </c>
      <c r="O6" s="4" t="inlineStr">
        <is>
          <t>shaking</t>
        </is>
      </c>
      <c r="P6" s="4" t="inlineStr">
        <is>
          <t>medium</t>
        </is>
      </c>
      <c r="Q6" s="32" t="n">
        <v>1.75</v>
      </c>
      <c r="R6" s="29" t="n">
        <v>6.313108289984361</v>
      </c>
      <c r="S6" s="30" t="n">
        <v>798.8</v>
      </c>
      <c r="T6" s="33" t="n">
        <v>8825.094078569136</v>
      </c>
      <c r="U6" s="33" t="n">
        <v>11119.61853899711</v>
      </c>
      <c r="V6" s="29" t="n"/>
      <c r="W6" s="29" t="n"/>
      <c r="X6" s="29" t="n">
        <v>0</v>
      </c>
      <c r="Y6" s="29" t="n">
        <v>159.4213451242771</v>
      </c>
      <c r="Z6" s="34" t="n">
        <v>0</v>
      </c>
      <c r="AA6" s="31">
        <f>MIN(X6,Calculation!$B$3)*F6</f>
        <v/>
      </c>
      <c r="AB6" s="33" t="n">
        <v>0</v>
      </c>
      <c r="AC6" s="35" t="n">
        <v>1</v>
      </c>
      <c r="AD6" s="33" t="n">
        <v>5355</v>
      </c>
      <c r="AE6" s="31">
        <f>N6+U6+AB6+AD6</f>
        <v/>
      </c>
      <c r="AF6" s="31">
        <f>AE6*Calculation!$B$9</f>
        <v/>
      </c>
      <c r="AG6" s="33" t="n">
        <v>0</v>
      </c>
      <c r="AH6" s="31">
        <f>AE6+AF6+AG6</f>
        <v/>
      </c>
      <c r="AI6" s="31">
        <f>MAX(G6,AA6)</f>
        <v/>
      </c>
      <c r="AJ6" s="31">
        <f>MIN(T6*(1+Calculation!$B$9),Calculation!$B$4*AC6)</f>
        <v/>
      </c>
      <c r="AK6" s="31">
        <f>AI6+AJ6+AG6</f>
        <v/>
      </c>
      <c r="AL6" s="31">
        <f>MIN(AH6,AK6)</f>
        <v/>
      </c>
      <c r="AM6" s="31">
        <f>MIN(MAX(AL6*Calculation!$B$5,Calculation!$B$6),Calculation!$B$7)*(AL6&gt;0)</f>
        <v/>
      </c>
      <c r="AN6" s="31">
        <f>MAX(0,AL6-AM6)</f>
        <v/>
      </c>
      <c r="AO6" s="31">
        <f>AN6/(1+Calculation!$B$9)</f>
        <v/>
      </c>
    </row>
    <row r="7">
      <c r="A7" s="4" t="inlineStr">
        <is>
          <t>331011f8-ce50-46ad-9aeb-03fffa6c8506</t>
        </is>
      </c>
      <c r="B7" s="29" t="n">
        <v>11.61980777911261</v>
      </c>
      <c r="C7" s="29" t="n">
        <v>0</v>
      </c>
      <c r="D7" s="29" t="n"/>
      <c r="E7" s="29" t="n">
        <v>11.61980777911261</v>
      </c>
      <c r="F7" s="30" t="n">
        <v>875.2256394431051</v>
      </c>
      <c r="G7" s="31">
        <f>MIN(E7,Calculation!$B$3)*F7</f>
        <v/>
      </c>
      <c r="H7" s="4" t="inlineStr"/>
      <c r="I7" s="32" t="n">
        <v>0</v>
      </c>
      <c r="J7" s="29" t="n">
        <v>0</v>
      </c>
      <c r="K7" s="33" t="n">
        <v>0</v>
      </c>
      <c r="L7" s="29" t="n">
        <v>0</v>
      </c>
      <c r="M7" s="33" t="n">
        <v>0</v>
      </c>
      <c r="N7" s="31">
        <f>K7+M7</f>
        <v/>
      </c>
      <c r="O7" s="4" t="inlineStr">
        <is>
          <t>shaking + evacuated</t>
        </is>
      </c>
      <c r="P7" s="4" t="inlineStr">
        <is>
          <t>large</t>
        </is>
      </c>
      <c r="Q7" s="32" t="n">
        <v>2.75</v>
      </c>
      <c r="R7" s="29" t="n">
        <v>8.159218973584622</v>
      </c>
      <c r="S7" s="30" t="n">
        <v>798.8</v>
      </c>
      <c r="T7" s="33" t="n">
        <v>17923.35631927334</v>
      </c>
      <c r="U7" s="33" t="n">
        <v>24734.2317205972</v>
      </c>
      <c r="V7" s="29" t="n"/>
      <c r="W7" s="29" t="n"/>
      <c r="X7" s="29" t="n">
        <v>0</v>
      </c>
      <c r="Y7" s="29" t="n">
        <v>266.2914170356131</v>
      </c>
      <c r="Z7" s="34" t="n">
        <v>0</v>
      </c>
      <c r="AA7" s="31">
        <f>MIN(X7,Calculation!$B$3)*F7</f>
        <v/>
      </c>
      <c r="AB7" s="33" t="n">
        <v>0</v>
      </c>
      <c r="AC7" s="35" t="n">
        <v>1</v>
      </c>
      <c r="AD7" s="33" t="n">
        <v>5865</v>
      </c>
      <c r="AE7" s="31">
        <f>N7+U7+AB7+AD7</f>
        <v/>
      </c>
      <c r="AF7" s="31">
        <f>AE7*Calculation!$B$9</f>
        <v/>
      </c>
      <c r="AG7" s="33" t="n">
        <v>0</v>
      </c>
      <c r="AH7" s="31">
        <f>AE7+AF7+AG7</f>
        <v/>
      </c>
      <c r="AI7" s="31">
        <f>MAX(G7,AA7)</f>
        <v/>
      </c>
      <c r="AJ7" s="31">
        <f>MIN(T7*(1+Calculation!$B$9),Calculation!$B$4*AC7)</f>
        <v/>
      </c>
      <c r="AK7" s="31">
        <f>AI7+AJ7+AG7</f>
        <v/>
      </c>
      <c r="AL7" s="31">
        <f>MIN(AH7,AK7)</f>
        <v/>
      </c>
      <c r="AM7" s="31">
        <f>MIN(MAX(AL7*Calculation!$B$5,Calculation!$B$6),Calculation!$B$7)*(AL7&gt;0)</f>
        <v/>
      </c>
      <c r="AN7" s="31">
        <f>MAX(0,AL7-AM7)</f>
        <v/>
      </c>
      <c r="AO7" s="31">
        <f>AN7/(1+Calculation!$B$9)</f>
        <v/>
      </c>
    </row>
    <row r="8">
      <c r="A8" s="4" t="inlineStr">
        <is>
          <t>36df7f1f-d454-4fd8-9751-1db3ad4e883a</t>
        </is>
      </c>
      <c r="B8" s="29" t="n">
        <v>2.739921778496873</v>
      </c>
      <c r="C8" s="29" t="n">
        <v>5.254910674327312</v>
      </c>
      <c r="D8" s="29" t="n"/>
      <c r="E8" s="29" t="n">
        <v>5.254910674327313</v>
      </c>
      <c r="F8" s="30" t="n">
        <v>1033.806982141251</v>
      </c>
      <c r="G8" s="31">
        <f>MIN(E8,Calculation!$B$3)*F8</f>
        <v/>
      </c>
      <c r="H8" s="4" t="inlineStr">
        <is>
          <t>small</t>
        </is>
      </c>
      <c r="I8" s="32" t="n">
        <v>0.75</v>
      </c>
      <c r="J8" s="29" t="n">
        <v>7.241885461988845</v>
      </c>
      <c r="K8" s="33" t="n">
        <v>5496.381956206821</v>
      </c>
      <c r="L8" s="29" t="n">
        <v>2.364807321606506</v>
      </c>
      <c r="M8" s="33" t="n">
        <v>354.7210982409759</v>
      </c>
      <c r="N8" s="31">
        <f>K8+M8</f>
        <v/>
      </c>
      <c r="O8" s="4" t="inlineStr">
        <is>
          <t>wall present, undamaged</t>
        </is>
      </c>
      <c r="P8" s="4" t="inlineStr">
        <is>
          <t>none</t>
        </is>
      </c>
      <c r="Q8" s="32" t="n">
        <v>0</v>
      </c>
      <c r="R8" s="29" t="n">
        <v>0</v>
      </c>
      <c r="S8" s="30" t="n">
        <v>0</v>
      </c>
      <c r="T8" s="33" t="n">
        <v>0</v>
      </c>
      <c r="U8" s="33" t="n">
        <v>0</v>
      </c>
      <c r="V8" s="29" t="n"/>
      <c r="W8" s="29" t="n"/>
      <c r="X8" s="29" t="n">
        <v>0</v>
      </c>
      <c r="Y8" s="29" t="n">
        <v>420.2371467194171</v>
      </c>
      <c r="Z8" s="34" t="n">
        <v>0</v>
      </c>
      <c r="AA8" s="31">
        <f>MIN(X8,Calculation!$B$3)*F8</f>
        <v/>
      </c>
      <c r="AB8" s="33" t="n">
        <v>0</v>
      </c>
      <c r="AC8" s="35" t="n">
        <v>1</v>
      </c>
      <c r="AD8" s="33" t="n">
        <v>5610</v>
      </c>
      <c r="AE8" s="31">
        <f>N8+U8+AB8+AD8</f>
        <v/>
      </c>
      <c r="AF8" s="31">
        <f>AE8*Calculation!$B$9</f>
        <v/>
      </c>
      <c r="AG8" s="33" t="n">
        <v>0</v>
      </c>
      <c r="AH8" s="31">
        <f>AE8+AF8+AG8</f>
        <v/>
      </c>
      <c r="AI8" s="31">
        <f>MAX(G8,AA8)</f>
        <v/>
      </c>
      <c r="AJ8" s="31">
        <f>MIN(T8*(1+Calculation!$B$9),Calculation!$B$4*AC8)</f>
        <v/>
      </c>
      <c r="AK8" s="31">
        <f>AI8+AJ8+AG8</f>
        <v/>
      </c>
      <c r="AL8" s="31">
        <f>MIN(AH8,AK8)</f>
        <v/>
      </c>
      <c r="AM8" s="31">
        <f>MIN(MAX(AL8*Calculation!$B$5,Calculation!$B$6),Calculation!$B$7)*(AL8&gt;0)</f>
        <v/>
      </c>
      <c r="AN8" s="31">
        <f>MAX(0,AL8-AM8)</f>
        <v/>
      </c>
      <c r="AO8" s="31">
        <f>AN8/(1+Calculation!$B$9)</f>
        <v/>
      </c>
    </row>
    <row r="9">
      <c r="A9" s="4" t="inlineStr">
        <is>
          <t>3c9cb87a-ae7d-4616-b2f0-ffff94a2930b</t>
        </is>
      </c>
      <c r="B9" s="29" t="n">
        <v>4.81379863873295</v>
      </c>
      <c r="C9" s="29" t="n">
        <v>83.99693044062863</v>
      </c>
      <c r="D9" s="29" t="n"/>
      <c r="E9" s="29" t="n">
        <v>83.99693044062862</v>
      </c>
      <c r="F9" s="30" t="n">
        <v>952.5188914254333</v>
      </c>
      <c r="G9" s="31">
        <f>MIN(E9,Calculation!$B$3)*F9</f>
        <v/>
      </c>
      <c r="H9" s="4" t="inlineStr">
        <is>
          <t>large</t>
        </is>
      </c>
      <c r="I9" s="32" t="n">
        <v>2.75</v>
      </c>
      <c r="J9" s="29" t="n">
        <v>16.96124457300522</v>
      </c>
      <c r="K9" s="33" t="n">
        <v>49346.8636874</v>
      </c>
      <c r="L9" s="29" t="n">
        <v>100.6916108565515</v>
      </c>
      <c r="M9" s="33" t="n">
        <v>15103.74162848273</v>
      </c>
      <c r="N9" s="31">
        <f>K9+M9</f>
        <v/>
      </c>
      <c r="O9" s="4" t="inlineStr">
        <is>
          <t>no wall on the property</t>
        </is>
      </c>
      <c r="P9" s="4" t="inlineStr">
        <is>
          <t>none</t>
        </is>
      </c>
      <c r="Q9" s="32" t="n">
        <v>0</v>
      </c>
      <c r="R9" s="29" t="n">
        <v>0</v>
      </c>
      <c r="S9" s="30" t="n">
        <v>0</v>
      </c>
      <c r="T9" s="33" t="n">
        <v>0</v>
      </c>
      <c r="U9" s="33" t="n">
        <v>0</v>
      </c>
      <c r="V9" s="29" t="n"/>
      <c r="W9" s="29" t="n"/>
      <c r="X9" s="29" t="n">
        <v>0</v>
      </c>
      <c r="Y9" s="29" t="n">
        <v>447.623704376365</v>
      </c>
      <c r="Z9" s="34" t="n">
        <v>0</v>
      </c>
      <c r="AA9" s="31">
        <f>MIN(X9,Calculation!$B$3)*F9</f>
        <v/>
      </c>
      <c r="AB9" s="33" t="n">
        <v>0</v>
      </c>
      <c r="AC9" s="35" t="n">
        <v>1</v>
      </c>
      <c r="AD9" s="33" t="n">
        <v>5865</v>
      </c>
      <c r="AE9" s="31">
        <f>N9+U9+AB9+AD9</f>
        <v/>
      </c>
      <c r="AF9" s="31">
        <f>AE9*Calculation!$B$9</f>
        <v/>
      </c>
      <c r="AG9" s="33" t="n">
        <v>0</v>
      </c>
      <c r="AH9" s="31">
        <f>AE9+AF9+AG9</f>
        <v/>
      </c>
      <c r="AI9" s="31">
        <f>MAX(G9,AA9)</f>
        <v/>
      </c>
      <c r="AJ9" s="31">
        <f>MIN(T9*(1+Calculation!$B$9),Calculation!$B$4*AC9)</f>
        <v/>
      </c>
      <c r="AK9" s="31">
        <f>AI9+AJ9+AG9</f>
        <v/>
      </c>
      <c r="AL9" s="31">
        <f>MIN(AH9,AK9)</f>
        <v/>
      </c>
      <c r="AM9" s="31">
        <f>MIN(MAX(AL9*Calculation!$B$5,Calculation!$B$6),Calculation!$B$7)*(AL9&gt;0)</f>
        <v/>
      </c>
      <c r="AN9" s="31">
        <f>MAX(0,AL9-AM9)</f>
        <v/>
      </c>
      <c r="AO9" s="31">
        <f>AN9/(1+Calculation!$B$9)</f>
        <v/>
      </c>
    </row>
    <row r="10">
      <c r="A10" s="4" t="inlineStr">
        <is>
          <t>06953c1e-a185-4880-a3e8-203ab7d4220a</t>
        </is>
      </c>
      <c r="B10" s="29" t="n">
        <v>25.76580155440493</v>
      </c>
      <c r="C10" s="29" t="n">
        <v>23.23198887690671</v>
      </c>
      <c r="D10" s="29" t="n"/>
      <c r="E10" s="29" t="n">
        <v>31.56185795826037</v>
      </c>
      <c r="F10" s="30" t="n">
        <v>1215.255114101618</v>
      </c>
      <c r="G10" s="31">
        <f>MIN(E10,Calculation!$B$3)*F10</f>
        <v/>
      </c>
      <c r="H10" s="4" t="inlineStr">
        <is>
          <t>medium</t>
        </is>
      </c>
      <c r="I10" s="32" t="n">
        <v>1.75</v>
      </c>
      <c r="J10" s="29" t="n">
        <v>11.94504348109692</v>
      </c>
      <c r="K10" s="33" t="n">
        <v>23076.9460447834</v>
      </c>
      <c r="L10" s="29" t="n">
        <v>7.050430954134018</v>
      </c>
      <c r="M10" s="33" t="n">
        <v>1057.564643120103</v>
      </c>
      <c r="N10" s="31">
        <f>K10+M10</f>
        <v/>
      </c>
      <c r="O10" s="4" t="inlineStr">
        <is>
          <t>no wall on the property</t>
        </is>
      </c>
      <c r="P10" s="4" t="inlineStr">
        <is>
          <t>none</t>
        </is>
      </c>
      <c r="Q10" s="32" t="n">
        <v>0</v>
      </c>
      <c r="R10" s="29" t="n">
        <v>0</v>
      </c>
      <c r="S10" s="30" t="n">
        <v>0</v>
      </c>
      <c r="T10" s="33" t="n">
        <v>0</v>
      </c>
      <c r="U10" s="33" t="n">
        <v>0</v>
      </c>
      <c r="V10" s="29" t="n"/>
      <c r="W10" s="29" t="n"/>
      <c r="X10" s="29" t="n">
        <v>0</v>
      </c>
      <c r="Y10" s="29" t="n">
        <v>50447.22716690691</v>
      </c>
      <c r="Z10" s="34" t="n">
        <v>1</v>
      </c>
      <c r="AA10" s="31">
        <f>MIN(X10,Calculation!$B$3)*F10</f>
        <v/>
      </c>
      <c r="AB10" s="33" t="n">
        <v>200</v>
      </c>
      <c r="AC10" s="35" t="n">
        <v>5</v>
      </c>
      <c r="AD10" s="33" t="n">
        <v>6120</v>
      </c>
      <c r="AE10" s="31">
        <f>N10+U10+AB10+AD10</f>
        <v/>
      </c>
      <c r="AF10" s="31">
        <f>AE10*Calculation!$B$9</f>
        <v/>
      </c>
      <c r="AG10" s="33" t="n">
        <v>0</v>
      </c>
      <c r="AH10" s="31">
        <f>AE10+AF10+AG10</f>
        <v/>
      </c>
      <c r="AI10" s="31">
        <f>MAX(G10,AA10)</f>
        <v/>
      </c>
      <c r="AJ10" s="31">
        <f>MIN(T10*(1+Calculation!$B$9),Calculation!$B$4*AC10)</f>
        <v/>
      </c>
      <c r="AK10" s="31">
        <f>AI10+AJ10+AG10</f>
        <v/>
      </c>
      <c r="AL10" s="31">
        <f>MIN(AH10,AK10)</f>
        <v/>
      </c>
      <c r="AM10" s="31">
        <f>MIN(MAX(AL10*Calculation!$B$5,Calculation!$B$6),Calculation!$B$7)*(AL10&gt;0)</f>
        <v/>
      </c>
      <c r="AN10" s="31">
        <f>MAX(0,AL10-AM10)</f>
        <v/>
      </c>
      <c r="AO10" s="31">
        <f>AN10/(1+Calculation!$B$9)</f>
        <v/>
      </c>
    </row>
    <row r="11">
      <c r="A11" s="4" t="inlineStr">
        <is>
          <t>0af1f540-21f2-4654-97ed-047e9a0d7e42</t>
        </is>
      </c>
      <c r="B11" s="29" t="n">
        <v>5.636895421053411</v>
      </c>
      <c r="C11" s="29" t="n">
        <v>3.183434007476635</v>
      </c>
      <c r="D11" s="29" t="n"/>
      <c r="E11" s="29" t="n">
        <v>5.903114465110614</v>
      </c>
      <c r="F11" s="30" t="n">
        <v>1845.735003003669</v>
      </c>
      <c r="G11" s="31">
        <f>MIN(E11,Calculation!$B$3)*F11</f>
        <v/>
      </c>
      <c r="H11" s="4" t="inlineStr">
        <is>
          <t>small</t>
        </is>
      </c>
      <c r="I11" s="32" t="n">
        <v>0.75</v>
      </c>
      <c r="J11" s="29" t="n">
        <v>7.436019343691363</v>
      </c>
      <c r="K11" s="33" t="n">
        <v>5387.191059221233</v>
      </c>
      <c r="L11" s="29" t="n">
        <v>0.5401543993725951</v>
      </c>
      <c r="M11" s="33" t="n">
        <v>81.02315990588927</v>
      </c>
      <c r="N11" s="31">
        <f>K11+M11</f>
        <v/>
      </c>
      <c r="O11" s="4" t="inlineStr">
        <is>
          <t>no wall on the property</t>
        </is>
      </c>
      <c r="P11" s="4" t="inlineStr">
        <is>
          <t>none</t>
        </is>
      </c>
      <c r="Q11" s="32" t="n">
        <v>0</v>
      </c>
      <c r="R11" s="29" t="n">
        <v>0</v>
      </c>
      <c r="S11" s="30" t="n">
        <v>0</v>
      </c>
      <c r="T11" s="33" t="n">
        <v>0</v>
      </c>
      <c r="U11" s="33" t="n">
        <v>0</v>
      </c>
      <c r="V11" s="29" t="n"/>
      <c r="W11" s="29" t="n"/>
      <c r="X11" s="29" t="n">
        <v>356.3788137462104</v>
      </c>
      <c r="Y11" s="29" t="n">
        <v>356.3788137462104</v>
      </c>
      <c r="Z11" s="34" t="n">
        <v>2</v>
      </c>
      <c r="AA11" s="31">
        <f>MIN(X11,Calculation!$B$3)*F11</f>
        <v/>
      </c>
      <c r="AB11" s="33" t="n">
        <v>500.0000000000001</v>
      </c>
      <c r="AC11" s="35" t="n">
        <v>1</v>
      </c>
      <c r="AD11" s="33" t="n">
        <v>5355</v>
      </c>
      <c r="AE11" s="31">
        <f>N11+U11+AB11+AD11</f>
        <v/>
      </c>
      <c r="AF11" s="31">
        <f>AE11*Calculation!$B$9</f>
        <v/>
      </c>
      <c r="AG11" s="33" t="n">
        <v>0</v>
      </c>
      <c r="AH11" s="31">
        <f>AE11+AF11+AG11</f>
        <v/>
      </c>
      <c r="AI11" s="31">
        <f>MAX(G11,AA11)</f>
        <v/>
      </c>
      <c r="AJ11" s="31">
        <f>MIN(T11*(1+Calculation!$B$9),Calculation!$B$4*AC11)</f>
        <v/>
      </c>
      <c r="AK11" s="31">
        <f>AI11+AJ11+AG11</f>
        <v/>
      </c>
      <c r="AL11" s="31">
        <f>MIN(AH11,AK11)</f>
        <v/>
      </c>
      <c r="AM11" s="31">
        <f>MIN(MAX(AL11*Calculation!$B$5,Calculation!$B$6),Calculation!$B$7)*(AL11&gt;0)</f>
        <v/>
      </c>
      <c r="AN11" s="31">
        <f>MAX(0,AL11-AM11)</f>
        <v/>
      </c>
      <c r="AO11" s="31">
        <f>AN11/(1+Calculation!$B$9)</f>
        <v/>
      </c>
    </row>
    <row r="12">
      <c r="A12" s="4" t="inlineStr">
        <is>
          <t>0bc8522b-2de5-402b-b82e-ebb534151ee9</t>
        </is>
      </c>
      <c r="B12" s="29" t="n">
        <v>15.48983220842302</v>
      </c>
      <c r="C12" s="29" t="n">
        <v>8.547847131838395</v>
      </c>
      <c r="D12" s="29" t="n"/>
      <c r="E12" s="29" t="n">
        <v>15.48983220842302</v>
      </c>
      <c r="F12" s="30" t="n">
        <v>1750.105740634113</v>
      </c>
      <c r="G12" s="31">
        <f>MIN(E12,Calculation!$B$3)*F12</f>
        <v/>
      </c>
      <c r="H12" s="4" t="inlineStr">
        <is>
          <t>medium</t>
        </is>
      </c>
      <c r="I12" s="32" t="n">
        <v>1.75</v>
      </c>
      <c r="J12" s="29" t="n">
        <v>9.565937873965719</v>
      </c>
      <c r="K12" s="33" t="n">
        <v>15400.57406339003</v>
      </c>
      <c r="L12" s="29" t="n">
        <v>4.018810058382776</v>
      </c>
      <c r="M12" s="33" t="n">
        <v>602.8215087574164</v>
      </c>
      <c r="N12" s="31">
        <f>K12+M12</f>
        <v/>
      </c>
      <c r="O12" s="4" t="inlineStr">
        <is>
          <t>no wall on the property</t>
        </is>
      </c>
      <c r="P12" s="4" t="inlineStr">
        <is>
          <t>none</t>
        </is>
      </c>
      <c r="Q12" s="32" t="n">
        <v>0</v>
      </c>
      <c r="R12" s="29" t="n">
        <v>0</v>
      </c>
      <c r="S12" s="30" t="n">
        <v>0</v>
      </c>
      <c r="T12" s="33" t="n">
        <v>0</v>
      </c>
      <c r="U12" s="33" t="n">
        <v>0</v>
      </c>
      <c r="V12" s="29" t="n"/>
      <c r="W12" s="29" t="n"/>
      <c r="X12" s="29" t="n">
        <v>336.6041633096748</v>
      </c>
      <c r="Y12" s="29" t="n">
        <v>336.6041633096748</v>
      </c>
      <c r="Z12" s="34" t="n">
        <v>3</v>
      </c>
      <c r="AA12" s="31">
        <f>MIN(X12,Calculation!$B$3)*F12</f>
        <v/>
      </c>
      <c r="AB12" s="33" t="n">
        <v>1500</v>
      </c>
      <c r="AC12" s="35" t="n">
        <v>4</v>
      </c>
      <c r="AD12" s="33" t="n">
        <v>5100</v>
      </c>
      <c r="AE12" s="31">
        <f>N12+U12+AB12+AD12</f>
        <v/>
      </c>
      <c r="AF12" s="31">
        <f>AE12*Calculation!$B$9</f>
        <v/>
      </c>
      <c r="AG12" s="33" t="n">
        <v>0</v>
      </c>
      <c r="AH12" s="31">
        <f>AE12+AF12+AG12</f>
        <v/>
      </c>
      <c r="AI12" s="31">
        <f>MAX(G12,AA12)</f>
        <v/>
      </c>
      <c r="AJ12" s="31">
        <f>MIN(T12*(1+Calculation!$B$9),Calculation!$B$4*AC12)</f>
        <v/>
      </c>
      <c r="AK12" s="31">
        <f>AI12+AJ12+AG12</f>
        <v/>
      </c>
      <c r="AL12" s="31">
        <f>MIN(AH12,AK12)</f>
        <v/>
      </c>
      <c r="AM12" s="31">
        <f>MIN(MAX(AL12*Calculation!$B$5,Calculation!$B$6),Calculation!$B$7)*(AL12&gt;0)</f>
        <v/>
      </c>
      <c r="AN12" s="31">
        <f>MAX(0,AL12-AM12)</f>
        <v/>
      </c>
      <c r="AO12" s="31">
        <f>AN12/(1+Calculation!$B$9)</f>
        <v/>
      </c>
    </row>
    <row r="13">
      <c r="A13" s="4" t="inlineStr">
        <is>
          <t>0fb3766f-33f4-4b9d-95c4-74dbfc6876dd</t>
        </is>
      </c>
      <c r="B13" s="29" t="n">
        <v>28.16598323933578</v>
      </c>
      <c r="C13" s="29" t="n">
        <v>28.16598323933578</v>
      </c>
      <c r="D13" s="29" t="n"/>
      <c r="E13" s="29" t="n">
        <v>34.1265011384118</v>
      </c>
      <c r="F13" s="30" t="n">
        <v>2173.314579577944</v>
      </c>
      <c r="G13" s="31">
        <f>MIN(E13,Calculation!$B$3)*F13</f>
        <v/>
      </c>
      <c r="H13" s="4" t="inlineStr">
        <is>
          <t>medium</t>
        </is>
      </c>
      <c r="I13" s="32" t="n">
        <v>1.75</v>
      </c>
      <c r="J13" s="29" t="n">
        <v>12.26153752499035</v>
      </c>
      <c r="K13" s="33" t="n">
        <v>20727.3406158641</v>
      </c>
      <c r="L13" s="29" t="n">
        <v>9.678991263674343</v>
      </c>
      <c r="M13" s="33" t="n">
        <v>1451.848689551151</v>
      </c>
      <c r="N13" s="31">
        <f>K13+M13</f>
        <v/>
      </c>
      <c r="O13" s="4" t="inlineStr">
        <is>
          <t>no wall on the property</t>
        </is>
      </c>
      <c r="P13" s="4" t="inlineStr">
        <is>
          <t>none</t>
        </is>
      </c>
      <c r="Q13" s="32" t="n">
        <v>0</v>
      </c>
      <c r="R13" s="29" t="n">
        <v>0</v>
      </c>
      <c r="S13" s="30" t="n">
        <v>0</v>
      </c>
      <c r="T13" s="33" t="n">
        <v>0</v>
      </c>
      <c r="U13" s="33" t="n">
        <v>0</v>
      </c>
      <c r="V13" s="29" t="n"/>
      <c r="W13" s="29" t="n"/>
      <c r="X13" s="29" t="n">
        <v>0</v>
      </c>
      <c r="Y13" s="29" t="n">
        <v>836.0527260023529</v>
      </c>
      <c r="Z13" s="34" t="n">
        <v>1</v>
      </c>
      <c r="AA13" s="31">
        <f>MIN(X13,Calculation!$B$3)*F13</f>
        <v/>
      </c>
      <c r="AB13" s="33" t="n">
        <v>200</v>
      </c>
      <c r="AC13" s="35" t="n">
        <v>9</v>
      </c>
      <c r="AD13" s="33" t="n">
        <v>5355</v>
      </c>
      <c r="AE13" s="31">
        <f>N13+U13+AB13+AD13</f>
        <v/>
      </c>
      <c r="AF13" s="31">
        <f>AE13*Calculation!$B$9</f>
        <v/>
      </c>
      <c r="AG13" s="33" t="n">
        <v>0</v>
      </c>
      <c r="AH13" s="31">
        <f>AE13+AF13+AG13</f>
        <v/>
      </c>
      <c r="AI13" s="31">
        <f>MAX(G13,AA13)</f>
        <v/>
      </c>
      <c r="AJ13" s="31">
        <f>MIN(T13*(1+Calculation!$B$9),Calculation!$B$4*AC13)</f>
        <v/>
      </c>
      <c r="AK13" s="31">
        <f>AI13+AJ13+AG13</f>
        <v/>
      </c>
      <c r="AL13" s="31">
        <f>MIN(AH13,AK13)</f>
        <v/>
      </c>
      <c r="AM13" s="31">
        <f>MIN(MAX(AL13*Calculation!$B$5,Calculation!$B$6),Calculation!$B$7)*(AL13&gt;0)</f>
        <v/>
      </c>
      <c r="AN13" s="31">
        <f>MAX(0,AL13-AM13)</f>
        <v/>
      </c>
      <c r="AO13" s="31">
        <f>AN13/(1+Calculation!$B$9)</f>
        <v/>
      </c>
    </row>
    <row r="14">
      <c r="A14" s="4" t="inlineStr">
        <is>
          <t>0035a155-c4d3-4860-80e0-6c17481b3d61</t>
        </is>
      </c>
      <c r="B14" s="29" t="n">
        <v>0</v>
      </c>
      <c r="C14" s="29" t="n">
        <v>0</v>
      </c>
      <c r="D14" s="29" t="n"/>
      <c r="E14" s="29" t="n">
        <v>0</v>
      </c>
      <c r="F14" s="30" t="n">
        <v>1125.800303002638</v>
      </c>
      <c r="G14" s="31">
        <f>MIN(E14,Calculation!$B$3)*F14</f>
        <v/>
      </c>
      <c r="H14" s="4" t="inlineStr"/>
      <c r="I14" s="32" t="n">
        <v>0</v>
      </c>
      <c r="J14" s="29" t="n">
        <v>0</v>
      </c>
      <c r="K14" s="33" t="n">
        <v>0</v>
      </c>
      <c r="L14" s="29" t="n">
        <v>0</v>
      </c>
      <c r="M14" s="33" t="n">
        <v>0</v>
      </c>
      <c r="N14" s="31">
        <f>K14+M14</f>
        <v/>
      </c>
      <c r="O14" s="4" t="inlineStr">
        <is>
          <t>shaking</t>
        </is>
      </c>
      <c r="P14" s="4" t="inlineStr">
        <is>
          <t>small</t>
        </is>
      </c>
      <c r="Q14" s="32" t="n">
        <v>0.75</v>
      </c>
      <c r="R14" s="29" t="n">
        <v>6.238939737591432</v>
      </c>
      <c r="S14" s="30" t="n">
        <v>1224.08</v>
      </c>
      <c r="T14" s="33" t="n">
        <v>5727.72101549319</v>
      </c>
      <c r="U14" s="33" t="n">
        <v>6873.265218591828</v>
      </c>
      <c r="V14" s="29" t="n"/>
      <c r="W14" s="29" t="n"/>
      <c r="X14" s="29" t="n">
        <v>0</v>
      </c>
      <c r="Y14" s="29" t="n">
        <v>155.6974761971898</v>
      </c>
      <c r="Z14" s="34" t="n">
        <v>0</v>
      </c>
      <c r="AA14" s="31">
        <f>MIN(X14,Calculation!$B$3)*F14</f>
        <v/>
      </c>
      <c r="AB14" s="33" t="n">
        <v>0</v>
      </c>
      <c r="AC14" s="35" t="n">
        <v>1</v>
      </c>
      <c r="AD14" s="33" t="n">
        <v>5100</v>
      </c>
      <c r="AE14" s="31">
        <f>N14+U14+AB14+AD14</f>
        <v/>
      </c>
      <c r="AF14" s="31">
        <f>AE14*Calculation!$B$9</f>
        <v/>
      </c>
      <c r="AG14" s="33" t="n">
        <v>0</v>
      </c>
      <c r="AH14" s="31">
        <f>AE14+AF14+AG14</f>
        <v/>
      </c>
      <c r="AI14" s="31">
        <f>MAX(G14,AA14)</f>
        <v/>
      </c>
      <c r="AJ14" s="31">
        <f>MIN(T14*(1+Calculation!$B$9),Calculation!$B$4*AC14)</f>
        <v/>
      </c>
      <c r="AK14" s="31">
        <f>AI14+AJ14+AG14</f>
        <v/>
      </c>
      <c r="AL14" s="31">
        <f>MIN(AH14,AK14)</f>
        <v/>
      </c>
      <c r="AM14" s="31">
        <f>MIN(MAX(AL14*Calculation!$B$5,Calculation!$B$6),Calculation!$B$7)*(AL14&gt;0)</f>
        <v/>
      </c>
      <c r="AN14" s="31">
        <f>MAX(0,AL14-AM14)</f>
        <v/>
      </c>
      <c r="AO14" s="31">
        <f>AN14/(1+Calculation!$B$9)</f>
        <v/>
      </c>
    </row>
    <row r="15">
      <c r="A15" s="4" t="inlineStr">
        <is>
          <t>00745333-cf86-4178-8cf6-cd6f9d7d5cbd</t>
        </is>
      </c>
      <c r="B15" s="29" t="n">
        <v>0</v>
      </c>
      <c r="C15" s="29" t="n">
        <v>0</v>
      </c>
      <c r="D15" s="29" t="n"/>
      <c r="E15" s="29" t="n">
        <v>0</v>
      </c>
      <c r="F15" s="30" t="n">
        <v>990.5549772618464</v>
      </c>
      <c r="G15" s="31">
        <f>MIN(E15,Calculation!$B$3)*F15</f>
        <v/>
      </c>
      <c r="H15" s="4" t="inlineStr"/>
      <c r="I15" s="32" t="n">
        <v>0</v>
      </c>
      <c r="J15" s="29" t="n">
        <v>0</v>
      </c>
      <c r="K15" s="33" t="n">
        <v>0</v>
      </c>
      <c r="L15" s="29" t="n">
        <v>0</v>
      </c>
      <c r="M15" s="33" t="n">
        <v>0</v>
      </c>
      <c r="N15" s="31">
        <f>K15+M15</f>
        <v/>
      </c>
      <c r="O15" s="4" t="inlineStr">
        <is>
          <t>shaking</t>
        </is>
      </c>
      <c r="P15" s="4" t="inlineStr">
        <is>
          <t>medium</t>
        </is>
      </c>
      <c r="Q15" s="32" t="n">
        <v>1.75</v>
      </c>
      <c r="R15" s="29" t="n">
        <v>8.711899422777982</v>
      </c>
      <c r="S15" s="30" t="n">
        <v>798.8</v>
      </c>
      <c r="T15" s="33" t="n">
        <v>12178.36420310134</v>
      </c>
      <c r="U15" s="33" t="n">
        <v>15344.73889590769</v>
      </c>
      <c r="V15" s="29" t="n"/>
      <c r="W15" s="29" t="n"/>
      <c r="X15" s="29" t="n">
        <v>0</v>
      </c>
      <c r="Y15" s="29" t="n">
        <v>303.5887662103974</v>
      </c>
      <c r="Z15" s="34" t="n">
        <v>0</v>
      </c>
      <c r="AA15" s="31">
        <f>MIN(X15,Calculation!$B$3)*F15</f>
        <v/>
      </c>
      <c r="AB15" s="33" t="n">
        <v>0</v>
      </c>
      <c r="AC15" s="35" t="n">
        <v>2</v>
      </c>
      <c r="AD15" s="33" t="n">
        <v>5355</v>
      </c>
      <c r="AE15" s="31">
        <f>N15+U15+AB15+AD15</f>
        <v/>
      </c>
      <c r="AF15" s="31">
        <f>AE15*Calculation!$B$9</f>
        <v/>
      </c>
      <c r="AG15" s="33" t="n">
        <v>0</v>
      </c>
      <c r="AH15" s="31">
        <f>AE15+AF15+AG15</f>
        <v/>
      </c>
      <c r="AI15" s="31">
        <f>MAX(G15,AA15)</f>
        <v/>
      </c>
      <c r="AJ15" s="31">
        <f>MIN(T15*(1+Calculation!$B$9),Calculation!$B$4*AC15)</f>
        <v/>
      </c>
      <c r="AK15" s="31">
        <f>AI15+AJ15+AG15</f>
        <v/>
      </c>
      <c r="AL15" s="31">
        <f>MIN(AH15,AK15)</f>
        <v/>
      </c>
      <c r="AM15" s="31">
        <f>MIN(MAX(AL15*Calculation!$B$5,Calculation!$B$6),Calculation!$B$7)*(AL15&gt;0)</f>
        <v/>
      </c>
      <c r="AN15" s="31">
        <f>MAX(0,AL15-AM15)</f>
        <v/>
      </c>
      <c r="AO15" s="31">
        <f>AN15/(1+Calculation!$B$9)</f>
        <v/>
      </c>
    </row>
    <row r="16">
      <c r="A16" s="4" t="inlineStr">
        <is>
          <t>00a83d76-9c9c-4d92-8d56-b16f1336cabb</t>
        </is>
      </c>
      <c r="B16" s="29" t="n">
        <v>0</v>
      </c>
      <c r="C16" s="29" t="n">
        <v>0</v>
      </c>
      <c r="D16" s="29" t="n"/>
      <c r="E16" s="29" t="n">
        <v>0</v>
      </c>
      <c r="F16" s="30" t="n">
        <v>909.0124673749219</v>
      </c>
      <c r="G16" s="31">
        <f>MIN(E16,Calculation!$B$3)*F16</f>
        <v/>
      </c>
      <c r="H16" s="4" t="inlineStr"/>
      <c r="I16" s="32" t="n">
        <v>0</v>
      </c>
      <c r="J16" s="29" t="n">
        <v>0</v>
      </c>
      <c r="K16" s="33" t="n">
        <v>0</v>
      </c>
      <c r="L16" s="29" t="n">
        <v>0</v>
      </c>
      <c r="M16" s="33" t="n">
        <v>0</v>
      </c>
      <c r="N16" s="31">
        <f>K16+M16</f>
        <v/>
      </c>
      <c r="O16" s="4" t="inlineStr">
        <is>
          <t>shaking</t>
        </is>
      </c>
      <c r="P16" s="4" t="inlineStr">
        <is>
          <t>medium</t>
        </is>
      </c>
      <c r="Q16" s="32" t="n">
        <v>1.75</v>
      </c>
      <c r="R16" s="29" t="n">
        <v>9.70437961684674</v>
      </c>
      <c r="S16" s="30" t="n">
        <v>643.1900000000001</v>
      </c>
      <c r="T16" s="33" t="n">
        <v>10923.0798700794</v>
      </c>
      <c r="U16" s="33" t="n">
        <v>14418.4654285048</v>
      </c>
      <c r="V16" s="29" t="n"/>
      <c r="W16" s="29" t="n"/>
      <c r="X16" s="29" t="n">
        <v>0</v>
      </c>
      <c r="Y16" s="29" t="n">
        <v>376.6999349914819</v>
      </c>
      <c r="Z16" s="34" t="n">
        <v>0</v>
      </c>
      <c r="AA16" s="31">
        <f>MIN(X16,Calculation!$B$3)*F16</f>
        <v/>
      </c>
      <c r="AB16" s="33" t="n">
        <v>0</v>
      </c>
      <c r="AC16" s="35" t="n">
        <v>1</v>
      </c>
      <c r="AD16" s="33" t="n">
        <v>5610</v>
      </c>
      <c r="AE16" s="31">
        <f>N16+U16+AB16+AD16</f>
        <v/>
      </c>
      <c r="AF16" s="31">
        <f>AE16*Calculation!$B$9</f>
        <v/>
      </c>
      <c r="AG16" s="33" t="n">
        <v>0</v>
      </c>
      <c r="AH16" s="31">
        <f>AE16+AF16+AG16</f>
        <v/>
      </c>
      <c r="AI16" s="31">
        <f>MAX(G16,AA16)</f>
        <v/>
      </c>
      <c r="AJ16" s="31">
        <f>MIN(T16*(1+Calculation!$B$9),Calculation!$B$4*AC16)</f>
        <v/>
      </c>
      <c r="AK16" s="31">
        <f>AI16+AJ16+AG16</f>
        <v/>
      </c>
      <c r="AL16" s="31">
        <f>MIN(AH16,AK16)</f>
        <v/>
      </c>
      <c r="AM16" s="31">
        <f>MIN(MAX(AL16*Calculation!$B$5,Calculation!$B$6),Calculation!$B$7)*(AL16&gt;0)</f>
        <v/>
      </c>
      <c r="AN16" s="31">
        <f>MAX(0,AL16-AM16)</f>
        <v/>
      </c>
      <c r="AO16" s="31">
        <f>AN16/(1+Calculation!$B$9)</f>
        <v/>
      </c>
    </row>
    <row r="17">
      <c r="A17" s="4" t="inlineStr">
        <is>
          <t>01b4d137-3ac2-408b-9de3-c572fc374ef4</t>
        </is>
      </c>
      <c r="B17" s="29" t="n">
        <v>0</v>
      </c>
      <c r="C17" s="29" t="n">
        <v>0</v>
      </c>
      <c r="D17" s="29" t="n"/>
      <c r="E17" s="29" t="n">
        <v>0</v>
      </c>
      <c r="F17" s="30" t="n">
        <v>1669.724652985133</v>
      </c>
      <c r="G17" s="31">
        <f>MIN(E17,Calculation!$B$3)*F17</f>
        <v/>
      </c>
      <c r="H17" s="4" t="inlineStr"/>
      <c r="I17" s="32" t="n">
        <v>0</v>
      </c>
      <c r="J17" s="29" t="n">
        <v>0</v>
      </c>
      <c r="K17" s="33" t="n">
        <v>0</v>
      </c>
      <c r="L17" s="29" t="n">
        <v>0</v>
      </c>
      <c r="M17" s="33" t="n">
        <v>0</v>
      </c>
      <c r="N17" s="31">
        <f>K17+M17</f>
        <v/>
      </c>
      <c r="O17" s="4" t="inlineStr">
        <is>
          <t>shaking</t>
        </is>
      </c>
      <c r="P17" s="4" t="inlineStr">
        <is>
          <t>medium</t>
        </is>
      </c>
      <c r="Q17" s="32" t="n">
        <v>1.75</v>
      </c>
      <c r="R17" s="29" t="n">
        <v>10.86560963197419</v>
      </c>
      <c r="S17" s="30" t="n">
        <v>879.87</v>
      </c>
      <c r="T17" s="33" t="n">
        <v>16730.56690704899</v>
      </c>
      <c r="U17" s="33" t="n">
        <v>21080.51430288172</v>
      </c>
      <c r="V17" s="29" t="n"/>
      <c r="W17" s="29" t="n"/>
      <c r="X17" s="29" t="n">
        <v>472.2458906978015</v>
      </c>
      <c r="Y17" s="29" t="n">
        <v>472.2458906978015</v>
      </c>
      <c r="Z17" s="34" t="n">
        <v>2</v>
      </c>
      <c r="AA17" s="31">
        <f>MIN(X17,Calculation!$B$3)*F17</f>
        <v/>
      </c>
      <c r="AB17" s="33" t="n">
        <v>500.0000000000001</v>
      </c>
      <c r="AC17" s="35" t="n">
        <v>1</v>
      </c>
      <c r="AD17" s="33" t="n">
        <v>5355</v>
      </c>
      <c r="AE17" s="31">
        <f>N17+U17+AB17+AD17</f>
        <v/>
      </c>
      <c r="AF17" s="31">
        <f>AE17*Calculation!$B$9</f>
        <v/>
      </c>
      <c r="AG17" s="33" t="n">
        <v>0</v>
      </c>
      <c r="AH17" s="31">
        <f>AE17+AF17+AG17</f>
        <v/>
      </c>
      <c r="AI17" s="31">
        <f>MAX(G17,AA17)</f>
        <v/>
      </c>
      <c r="AJ17" s="31">
        <f>MIN(T17*(1+Calculation!$B$9),Calculation!$B$4*AC17)</f>
        <v/>
      </c>
      <c r="AK17" s="31">
        <f>AI17+AJ17+AG17</f>
        <v/>
      </c>
      <c r="AL17" s="31">
        <f>MIN(AH17,AK17)</f>
        <v/>
      </c>
      <c r="AM17" s="31">
        <f>MIN(MAX(AL17*Calculation!$B$5,Calculation!$B$6),Calculation!$B$7)*(AL17&gt;0)</f>
        <v/>
      </c>
      <c r="AN17" s="31">
        <f>MAX(0,AL17-AM17)</f>
        <v/>
      </c>
      <c r="AO17" s="31">
        <f>AN17/(1+Calculation!$B$9)</f>
        <v/>
      </c>
    </row>
    <row r="18">
      <c r="A18" s="4" t="inlineStr">
        <is>
          <t>0017e6f7-95ee-4d2a-8bff-569d98d70ec8</t>
        </is>
      </c>
      <c r="B18" s="29" t="n">
        <v>0</v>
      </c>
      <c r="C18" s="29" t="n">
        <v>0</v>
      </c>
      <c r="D18" s="29" t="n"/>
      <c r="E18" s="29" t="n">
        <v>0</v>
      </c>
      <c r="F18" s="30" t="n">
        <v>1908.027810002991</v>
      </c>
      <c r="G18" s="31">
        <f>MIN(E18,Calculation!$B$3)*F18</f>
        <v/>
      </c>
      <c r="H18" s="4" t="inlineStr"/>
      <c r="I18" s="32" t="n">
        <v>0</v>
      </c>
      <c r="J18" s="29" t="n">
        <v>0</v>
      </c>
      <c r="K18" s="33" t="n">
        <v>0</v>
      </c>
      <c r="L18" s="29" t="n">
        <v>0</v>
      </c>
      <c r="M18" s="33" t="n">
        <v>0</v>
      </c>
      <c r="N18" s="31">
        <f>K18+M18</f>
        <v/>
      </c>
      <c r="O18" s="4" t="inlineStr">
        <is>
          <t>no wall on the property</t>
        </is>
      </c>
      <c r="P18" s="4" t="inlineStr">
        <is>
          <t>none</t>
        </is>
      </c>
      <c r="Q18" s="32" t="n">
        <v>0</v>
      </c>
      <c r="R18" s="29" t="n">
        <v>0</v>
      </c>
      <c r="S18" s="30" t="n">
        <v>0</v>
      </c>
      <c r="T18" s="33" t="n">
        <v>0</v>
      </c>
      <c r="U18" s="33" t="n">
        <v>0</v>
      </c>
      <c r="V18" s="29" t="n"/>
      <c r="W18" s="29" t="n"/>
      <c r="X18" s="29" t="n">
        <v>2824.033182987902</v>
      </c>
      <c r="Y18" s="29" t="n">
        <v>2824.033182987902</v>
      </c>
      <c r="Z18" s="34" t="n">
        <v>6</v>
      </c>
      <c r="AA18" s="31">
        <f>MIN(X18,Calculation!$B$3)*F18</f>
        <v/>
      </c>
      <c r="AB18" s="33" t="n">
        <v>4000</v>
      </c>
      <c r="AC18" s="35" t="n">
        <v>29</v>
      </c>
      <c r="AD18" s="33" t="n">
        <v>0</v>
      </c>
      <c r="AE18" s="31">
        <f>N18+U18+AB18+AD18</f>
        <v/>
      </c>
      <c r="AF18" s="31">
        <f>AE18*Calculation!$B$9</f>
        <v/>
      </c>
      <c r="AG18" s="33" t="n">
        <v>0</v>
      </c>
      <c r="AH18" s="31">
        <f>AE18+AF18+AG18</f>
        <v/>
      </c>
      <c r="AI18" s="31">
        <f>MAX(G18,AA18)</f>
        <v/>
      </c>
      <c r="AJ18" s="31">
        <f>MIN(T18*(1+Calculation!$B$9),Calculation!$B$4*AC18)</f>
        <v/>
      </c>
      <c r="AK18" s="31">
        <f>AI18+AJ18+AG18</f>
        <v/>
      </c>
      <c r="AL18" s="31">
        <f>MIN(AH18,AK18)</f>
        <v/>
      </c>
      <c r="AM18" s="31">
        <f>MIN(MAX(AL18*Calculation!$B$5,Calculation!$B$6),Calculation!$B$7)*(AL18&gt;0)</f>
        <v/>
      </c>
      <c r="AN18" s="31">
        <f>MAX(0,AL18-AM18)</f>
        <v/>
      </c>
      <c r="AO18" s="31">
        <f>AN18/(1+Calculation!$B$9)</f>
        <v/>
      </c>
    </row>
    <row r="19">
      <c r="A19" s="4" t="inlineStr">
        <is>
          <t>00191a75-aed6-4265-a79b-faa275f0040c</t>
        </is>
      </c>
      <c r="B19" s="29" t="n">
        <v>0</v>
      </c>
      <c r="C19" s="29" t="n">
        <v>0</v>
      </c>
      <c r="D19" s="29" t="n"/>
      <c r="E19" s="29" t="n">
        <v>0</v>
      </c>
      <c r="F19" s="30" t="n">
        <v>1891.519728815266</v>
      </c>
      <c r="G19" s="31">
        <f>MIN(E19,Calculation!$B$3)*F19</f>
        <v/>
      </c>
      <c r="H19" s="4" t="inlineStr"/>
      <c r="I19" s="32" t="n">
        <v>0</v>
      </c>
      <c r="J19" s="29" t="n">
        <v>0</v>
      </c>
      <c r="K19" s="33" t="n">
        <v>0</v>
      </c>
      <c r="L19" s="29" t="n">
        <v>0</v>
      </c>
      <c r="M19" s="33" t="n">
        <v>0</v>
      </c>
      <c r="N19" s="31">
        <f>K19+M19</f>
        <v/>
      </c>
      <c r="O19" s="4" t="inlineStr">
        <is>
          <t>no wall on the property</t>
        </is>
      </c>
      <c r="P19" s="4" t="inlineStr">
        <is>
          <t>none</t>
        </is>
      </c>
      <c r="Q19" s="32" t="n">
        <v>0</v>
      </c>
      <c r="R19" s="29" t="n">
        <v>0</v>
      </c>
      <c r="S19" s="30" t="n">
        <v>0</v>
      </c>
      <c r="T19" s="33" t="n">
        <v>0</v>
      </c>
      <c r="U19" s="33" t="n">
        <v>0</v>
      </c>
      <c r="V19" s="29" t="n"/>
      <c r="W19" s="29" t="n"/>
      <c r="X19" s="29" t="n">
        <v>286.0372101473818</v>
      </c>
      <c r="Y19" s="29" t="n">
        <v>286.0372101473818</v>
      </c>
      <c r="Z19" s="34" t="n">
        <v>3</v>
      </c>
      <c r="AA19" s="31">
        <f>MIN(X19,Calculation!$B$3)*F19</f>
        <v/>
      </c>
      <c r="AB19" s="33" t="n">
        <v>1500</v>
      </c>
      <c r="AC19" s="35" t="n">
        <v>1</v>
      </c>
      <c r="AD19" s="33" t="n">
        <v>0</v>
      </c>
      <c r="AE19" s="31">
        <f>N19+U19+AB19+AD19</f>
        <v/>
      </c>
      <c r="AF19" s="31">
        <f>AE19*Calculation!$B$9</f>
        <v/>
      </c>
      <c r="AG19" s="33" t="n">
        <v>0</v>
      </c>
      <c r="AH19" s="31">
        <f>AE19+AF19+AG19</f>
        <v/>
      </c>
      <c r="AI19" s="31">
        <f>MAX(G19,AA19)</f>
        <v/>
      </c>
      <c r="AJ19" s="31">
        <f>MIN(T19*(1+Calculation!$B$9),Calculation!$B$4*AC19)</f>
        <v/>
      </c>
      <c r="AK19" s="31">
        <f>AI19+AJ19+AG19</f>
        <v/>
      </c>
      <c r="AL19" s="31">
        <f>MIN(AH19,AK19)</f>
        <v/>
      </c>
      <c r="AM19" s="31">
        <f>MIN(MAX(AL19*Calculation!$B$5,Calculation!$B$6),Calculation!$B$7)*(AL19&gt;0)</f>
        <v/>
      </c>
      <c r="AN19" s="31">
        <f>MAX(0,AL19-AM19)</f>
        <v/>
      </c>
      <c r="AO19" s="31">
        <f>AN19/(1+Calculation!$B$9)</f>
        <v/>
      </c>
    </row>
    <row r="20">
      <c r="A20" s="4" t="inlineStr">
        <is>
          <t>001e2f9c-9846-4a4d-aff2-1de9e7b091c7</t>
        </is>
      </c>
      <c r="B20" s="29" t="n">
        <v>0</v>
      </c>
      <c r="C20" s="29" t="n">
        <v>0</v>
      </c>
      <c r="D20" s="29" t="n"/>
      <c r="E20" s="29" t="n">
        <v>0</v>
      </c>
      <c r="F20" s="30" t="n">
        <v>1603.475556633135</v>
      </c>
      <c r="G20" s="31">
        <f>MIN(E20,Calculation!$B$3)*F20</f>
        <v/>
      </c>
      <c r="H20" s="4" t="inlineStr"/>
      <c r="I20" s="32" t="n">
        <v>0</v>
      </c>
      <c r="J20" s="29" t="n">
        <v>0</v>
      </c>
      <c r="K20" s="33" t="n">
        <v>0</v>
      </c>
      <c r="L20" s="29" t="n">
        <v>0</v>
      </c>
      <c r="M20" s="33" t="n">
        <v>0</v>
      </c>
      <c r="N20" s="31">
        <f>K20+M20</f>
        <v/>
      </c>
      <c r="O20" s="4" t="inlineStr">
        <is>
          <t>no wall on the property</t>
        </is>
      </c>
      <c r="P20" s="4" t="inlineStr">
        <is>
          <t>none</t>
        </is>
      </c>
      <c r="Q20" s="32" t="n">
        <v>0</v>
      </c>
      <c r="R20" s="29" t="n">
        <v>0</v>
      </c>
      <c r="S20" s="30" t="n">
        <v>0</v>
      </c>
      <c r="T20" s="33" t="n">
        <v>0</v>
      </c>
      <c r="U20" s="33" t="n">
        <v>0</v>
      </c>
      <c r="V20" s="29" t="n"/>
      <c r="W20" s="29" t="n"/>
      <c r="X20" s="29" t="n">
        <v>192.3987560767283</v>
      </c>
      <c r="Y20" s="29" t="n">
        <v>192.3987560767283</v>
      </c>
      <c r="Z20" s="34" t="n">
        <v>3</v>
      </c>
      <c r="AA20" s="31">
        <f>MIN(X20,Calculation!$B$3)*F20</f>
        <v/>
      </c>
      <c r="AB20" s="33" t="n">
        <v>1500</v>
      </c>
      <c r="AC20" s="35" t="n">
        <v>1</v>
      </c>
      <c r="AD20" s="33" t="n">
        <v>0</v>
      </c>
      <c r="AE20" s="31">
        <f>N20+U20+AB20+AD20</f>
        <v/>
      </c>
      <c r="AF20" s="31">
        <f>AE20*Calculation!$B$9</f>
        <v/>
      </c>
      <c r="AG20" s="33" t="n">
        <v>0</v>
      </c>
      <c r="AH20" s="31">
        <f>AE20+AF20+AG20</f>
        <v/>
      </c>
      <c r="AI20" s="31">
        <f>MAX(G20,AA20)</f>
        <v/>
      </c>
      <c r="AJ20" s="31">
        <f>MIN(T20*(1+Calculation!$B$9),Calculation!$B$4*AC20)</f>
        <v/>
      </c>
      <c r="AK20" s="31">
        <f>AI20+AJ20+AG20</f>
        <v/>
      </c>
      <c r="AL20" s="31">
        <f>MIN(AH20,AK20)</f>
        <v/>
      </c>
      <c r="AM20" s="31">
        <f>MIN(MAX(AL20*Calculation!$B$5,Calculation!$B$6),Calculation!$B$7)*(AL20&gt;0)</f>
        <v/>
      </c>
      <c r="AN20" s="31">
        <f>MAX(0,AL20-AM20)</f>
        <v/>
      </c>
      <c r="AO20" s="31">
        <f>AN20/(1+Calculation!$B$9)</f>
        <v/>
      </c>
    </row>
    <row r="21">
      <c r="A21" s="4" t="inlineStr">
        <is>
          <t>0055aa62-333d-49e8-8a1b-4277448835ed</t>
        </is>
      </c>
      <c r="B21" s="29" t="n">
        <v>0</v>
      </c>
      <c r="C21" s="29" t="n">
        <v>0</v>
      </c>
      <c r="D21" s="29" t="n"/>
      <c r="E21" s="29" t="n">
        <v>0</v>
      </c>
      <c r="F21" s="30" t="n">
        <v>1832.043468426193</v>
      </c>
      <c r="G21" s="31">
        <f>MIN(E21,Calculation!$B$3)*F21</f>
        <v/>
      </c>
      <c r="H21" s="4" t="inlineStr"/>
      <c r="I21" s="32" t="n">
        <v>0</v>
      </c>
      <c r="J21" s="29" t="n">
        <v>0</v>
      </c>
      <c r="K21" s="33" t="n">
        <v>0</v>
      </c>
      <c r="L21" s="29" t="n">
        <v>0</v>
      </c>
      <c r="M21" s="33" t="n">
        <v>0</v>
      </c>
      <c r="N21" s="31">
        <f>K21+M21</f>
        <v/>
      </c>
      <c r="O21" s="4" t="inlineStr">
        <is>
          <t>no wall on the property</t>
        </is>
      </c>
      <c r="P21" s="4" t="inlineStr">
        <is>
          <t>none</t>
        </is>
      </c>
      <c r="Q21" s="32" t="n">
        <v>0</v>
      </c>
      <c r="R21" s="29" t="n">
        <v>0</v>
      </c>
      <c r="S21" s="30" t="n">
        <v>0</v>
      </c>
      <c r="T21" s="33" t="n">
        <v>0</v>
      </c>
      <c r="U21" s="33" t="n">
        <v>0</v>
      </c>
      <c r="V21" s="29" t="n"/>
      <c r="W21" s="29" t="n"/>
      <c r="X21" s="29" t="n">
        <v>212.7684182341731</v>
      </c>
      <c r="Y21" s="29" t="n">
        <v>212.7684182341731</v>
      </c>
      <c r="Z21" s="34" t="n">
        <v>2</v>
      </c>
      <c r="AA21" s="31">
        <f>MIN(X21,Calculation!$B$3)*F21</f>
        <v/>
      </c>
      <c r="AB21" s="33" t="n">
        <v>500.0000000000001</v>
      </c>
      <c r="AC21" s="35" t="n">
        <v>5</v>
      </c>
      <c r="AD21" s="33" t="n">
        <v>0</v>
      </c>
      <c r="AE21" s="31">
        <f>N21+U21+AB21+AD21</f>
        <v/>
      </c>
      <c r="AF21" s="31">
        <f>AE21*Calculation!$B$9</f>
        <v/>
      </c>
      <c r="AG21" s="33" t="n">
        <v>0</v>
      </c>
      <c r="AH21" s="31">
        <f>AE21+AF21+AG21</f>
        <v/>
      </c>
      <c r="AI21" s="31">
        <f>MAX(G21,AA21)</f>
        <v/>
      </c>
      <c r="AJ21" s="31">
        <f>MIN(T21*(1+Calculation!$B$9),Calculation!$B$4*AC21)</f>
        <v/>
      </c>
      <c r="AK21" s="31">
        <f>AI21+AJ21+AG21</f>
        <v/>
      </c>
      <c r="AL21" s="31">
        <f>MIN(AH21,AK21)</f>
        <v/>
      </c>
      <c r="AM21" s="31">
        <f>MIN(MAX(AL21*Calculation!$B$5,Calculation!$B$6),Calculation!$B$7)*(AL21&gt;0)</f>
        <v/>
      </c>
      <c r="AN21" s="31">
        <f>MAX(0,AL21-AM21)</f>
        <v/>
      </c>
      <c r="AO21" s="31">
        <f>AN21/(1+Calculation!$B$9)</f>
        <v/>
      </c>
    </row>
    <row r="22">
      <c r="A22" s="4" t="inlineStr">
        <is>
          <t>002e15d9-b27f-4a99-b94d-703b11215eab</t>
        </is>
      </c>
      <c r="B22" s="29" t="n">
        <v>0</v>
      </c>
      <c r="C22" s="29" t="n">
        <v>0</v>
      </c>
      <c r="D22" s="29" t="n"/>
      <c r="E22" s="29" t="n">
        <v>0</v>
      </c>
      <c r="F22" s="30" t="n">
        <v>816.216729440072</v>
      </c>
      <c r="G22" s="31">
        <f>MIN(E22,Calculation!$B$3)*F22</f>
        <v/>
      </c>
      <c r="H22" s="4" t="inlineStr"/>
      <c r="I22" s="32" t="n">
        <v>0</v>
      </c>
      <c r="J22" s="29" t="n">
        <v>0</v>
      </c>
      <c r="K22" s="33" t="n">
        <v>0</v>
      </c>
      <c r="L22" s="29" t="n">
        <v>0</v>
      </c>
      <c r="M22" s="33" t="n">
        <v>0</v>
      </c>
      <c r="N22" s="31">
        <f>K22+M22</f>
        <v/>
      </c>
      <c r="O22" s="4" t="inlineStr">
        <is>
          <t>no wall on the property</t>
        </is>
      </c>
      <c r="P22" s="4" t="inlineStr">
        <is>
          <t>none</t>
        </is>
      </c>
      <c r="Q22" s="32" t="n">
        <v>0</v>
      </c>
      <c r="R22" s="29" t="n">
        <v>0</v>
      </c>
      <c r="S22" s="30" t="n">
        <v>0</v>
      </c>
      <c r="T22" s="33" t="n">
        <v>0</v>
      </c>
      <c r="U22" s="33" t="n">
        <v>0</v>
      </c>
      <c r="V22" s="29" t="n"/>
      <c r="W22" s="29" t="n"/>
      <c r="X22" s="29" t="n">
        <v>0</v>
      </c>
      <c r="Y22" s="29" t="n">
        <v>252.3366353326147</v>
      </c>
      <c r="Z22" s="34" t="n">
        <v>0</v>
      </c>
      <c r="AA22" s="31">
        <f>MIN(X22,Calculation!$B$3)*F22</f>
        <v/>
      </c>
      <c r="AB22" s="33" t="n">
        <v>0</v>
      </c>
      <c r="AC22" s="35" t="n">
        <v>3</v>
      </c>
      <c r="AD22" s="33" t="n">
        <v>0</v>
      </c>
      <c r="AE22" s="31">
        <f>N22+U22+AB22+AD22</f>
        <v/>
      </c>
      <c r="AF22" s="31">
        <f>AE22*Calculation!$B$9</f>
        <v/>
      </c>
      <c r="AG22" s="33" t="n">
        <v>0</v>
      </c>
      <c r="AH22" s="31">
        <f>AE22+AF22+AG22</f>
        <v/>
      </c>
      <c r="AI22" s="31">
        <f>MAX(G22,AA22)</f>
        <v/>
      </c>
      <c r="AJ22" s="31">
        <f>MIN(T22*(1+Calculation!$B$9),Calculation!$B$4*AC22)</f>
        <v/>
      </c>
      <c r="AK22" s="31">
        <f>AI22+AJ22+AG22</f>
        <v/>
      </c>
      <c r="AL22" s="31">
        <f>MIN(AH22,AK22)</f>
        <v/>
      </c>
      <c r="AM22" s="31">
        <f>MIN(MAX(AL22*Calculation!$B$5,Calculation!$B$6),Calculation!$B$7)*(AL22&gt;0)</f>
        <v/>
      </c>
      <c r="AN22" s="31">
        <f>MAX(0,AL22-AM22)</f>
        <v/>
      </c>
      <c r="AO22" s="31">
        <f>AN22/(1+Calculation!$B$9)</f>
        <v/>
      </c>
    </row>
    <row r="23">
      <c r="A23" s="4" t="inlineStr">
        <is>
          <t>0120d782-7901-4838-9ae8-012ec8626771</t>
        </is>
      </c>
      <c r="B23" s="29" t="n">
        <v>0</v>
      </c>
      <c r="C23" s="29" t="n">
        <v>0</v>
      </c>
      <c r="D23" s="29" t="n"/>
      <c r="E23" s="29" t="n">
        <v>0</v>
      </c>
      <c r="F23" s="30" t="n">
        <v>1691.829478035887</v>
      </c>
      <c r="G23" s="31">
        <f>MIN(E23,Calculation!$B$3)*F23</f>
        <v/>
      </c>
      <c r="H23" s="4" t="inlineStr"/>
      <c r="I23" s="32" t="n">
        <v>0</v>
      </c>
      <c r="J23" s="29" t="n">
        <v>0</v>
      </c>
      <c r="K23" s="33" t="n">
        <v>0</v>
      </c>
      <c r="L23" s="29" t="n">
        <v>0</v>
      </c>
      <c r="M23" s="33" t="n">
        <v>0</v>
      </c>
      <c r="N23" s="31">
        <f>K23+M23</f>
        <v/>
      </c>
      <c r="O23" s="4" t="inlineStr">
        <is>
          <t>no wall on the property</t>
        </is>
      </c>
      <c r="P23" s="4" t="inlineStr">
        <is>
          <t>none</t>
        </is>
      </c>
      <c r="Q23" s="32" t="n">
        <v>0</v>
      </c>
      <c r="R23" s="29" t="n">
        <v>0</v>
      </c>
      <c r="S23" s="30" t="n">
        <v>0</v>
      </c>
      <c r="T23" s="33" t="n">
        <v>0</v>
      </c>
      <c r="U23" s="33" t="n">
        <v>0</v>
      </c>
      <c r="V23" s="29" t="n"/>
      <c r="W23" s="29" t="n"/>
      <c r="X23" s="29" t="n">
        <v>0</v>
      </c>
      <c r="Y23" s="29" t="n">
        <v>413.2027308032251</v>
      </c>
      <c r="Z23" s="34" t="n">
        <v>1</v>
      </c>
      <c r="AA23" s="31">
        <f>MIN(X23,Calculation!$B$3)*F23</f>
        <v/>
      </c>
      <c r="AB23" s="33" t="n">
        <v>200</v>
      </c>
      <c r="AC23" s="35" t="n">
        <v>2</v>
      </c>
      <c r="AD23" s="33" t="n">
        <v>0</v>
      </c>
      <c r="AE23" s="31">
        <f>N23+U23+AB23+AD23</f>
        <v/>
      </c>
      <c r="AF23" s="31">
        <f>AE23*Calculation!$B$9</f>
        <v/>
      </c>
      <c r="AG23" s="33" t="n">
        <v>0</v>
      </c>
      <c r="AH23" s="31">
        <f>AE23+AF23+AG23</f>
        <v/>
      </c>
      <c r="AI23" s="31">
        <f>MAX(G23,AA23)</f>
        <v/>
      </c>
      <c r="AJ23" s="31">
        <f>MIN(T23*(1+Calculation!$B$9),Calculation!$B$4*AC23)</f>
        <v/>
      </c>
      <c r="AK23" s="31">
        <f>AI23+AJ23+AG23</f>
        <v/>
      </c>
      <c r="AL23" s="31">
        <f>MIN(AH23,AK23)</f>
        <v/>
      </c>
      <c r="AM23" s="31">
        <f>MIN(MAX(AL23*Calculation!$B$5,Calculation!$B$6),Calculation!$B$7)*(AL23&gt;0)</f>
        <v/>
      </c>
      <c r="AN23" s="31">
        <f>MAX(0,AL23-AM23)</f>
        <v/>
      </c>
      <c r="AO23" s="31">
        <f>AN23/(1+Calculation!$B$9)</f>
        <v/>
      </c>
    </row>
    <row r="24">
      <c r="A24" s="4" t="inlineStr">
        <is>
          <t>012c131a-dea5-4ece-8e66-1e6f0f73959e</t>
        </is>
      </c>
      <c r="B24" s="29" t="n">
        <v>0</v>
      </c>
      <c r="C24" s="29" t="n">
        <v>0</v>
      </c>
      <c r="D24" s="29" t="n"/>
      <c r="E24" s="29" t="n">
        <v>0</v>
      </c>
      <c r="F24" s="30" t="n">
        <v>1982.685871232275</v>
      </c>
      <c r="G24" s="31">
        <f>MIN(E24,Calculation!$B$3)*F24</f>
        <v/>
      </c>
      <c r="H24" s="4" t="inlineStr"/>
      <c r="I24" s="32" t="n">
        <v>0</v>
      </c>
      <c r="J24" s="29" t="n">
        <v>0</v>
      </c>
      <c r="K24" s="33" t="n">
        <v>0</v>
      </c>
      <c r="L24" s="29" t="n">
        <v>0</v>
      </c>
      <c r="M24" s="33" t="n">
        <v>0</v>
      </c>
      <c r="N24" s="31">
        <f>K24+M24</f>
        <v/>
      </c>
      <c r="O24" s="4" t="inlineStr">
        <is>
          <t>no wall on the property</t>
        </is>
      </c>
      <c r="P24" s="4" t="inlineStr">
        <is>
          <t>none</t>
        </is>
      </c>
      <c r="Q24" s="32" t="n">
        <v>0</v>
      </c>
      <c r="R24" s="29" t="n">
        <v>0</v>
      </c>
      <c r="S24" s="30" t="n">
        <v>0</v>
      </c>
      <c r="T24" s="33" t="n">
        <v>0</v>
      </c>
      <c r="U24" s="33" t="n">
        <v>0</v>
      </c>
      <c r="V24" s="29" t="n"/>
      <c r="W24" s="29" t="n"/>
      <c r="X24" s="29" t="n">
        <v>0</v>
      </c>
      <c r="Y24" s="29" t="n">
        <v>185.6254252003966</v>
      </c>
      <c r="Z24" s="34" t="n">
        <v>1</v>
      </c>
      <c r="AA24" s="31">
        <f>MIN(X24,Calculation!$B$3)*F24</f>
        <v/>
      </c>
      <c r="AB24" s="33" t="n">
        <v>200</v>
      </c>
      <c r="AC24" s="35" t="n">
        <v>1</v>
      </c>
      <c r="AD24" s="33" t="n">
        <v>0</v>
      </c>
      <c r="AE24" s="31">
        <f>N24+U24+AB24+AD24</f>
        <v/>
      </c>
      <c r="AF24" s="31">
        <f>AE24*Calculation!$B$9</f>
        <v/>
      </c>
      <c r="AG24" s="33" t="n">
        <v>0</v>
      </c>
      <c r="AH24" s="31">
        <f>AE24+AF24+AG24</f>
        <v/>
      </c>
      <c r="AI24" s="31">
        <f>MAX(G24,AA24)</f>
        <v/>
      </c>
      <c r="AJ24" s="31">
        <f>MIN(T24*(1+Calculation!$B$9),Calculation!$B$4*AC24)</f>
        <v/>
      </c>
      <c r="AK24" s="31">
        <f>AI24+AJ24+AG24</f>
        <v/>
      </c>
      <c r="AL24" s="31">
        <f>MIN(AH24,AK24)</f>
        <v/>
      </c>
      <c r="AM24" s="31">
        <f>MIN(MAX(AL24*Calculation!$B$5,Calculation!$B$6),Calculation!$B$7)*(AL24&gt;0)</f>
        <v/>
      </c>
      <c r="AN24" s="31">
        <f>MAX(0,AL24-AM24)</f>
        <v/>
      </c>
      <c r="AO24" s="31">
        <f>AN24/(1+Calculation!$B$9)</f>
        <v/>
      </c>
    </row>
    <row r="25">
      <c r="A25" s="4" t="inlineStr">
        <is>
          <t>015ac9d8-763d-4df5-b585-423b129c132f</t>
        </is>
      </c>
      <c r="B25" s="29" t="n">
        <v>0</v>
      </c>
      <c r="C25" s="29" t="n">
        <v>0</v>
      </c>
      <c r="D25" s="29" t="n"/>
      <c r="E25" s="29" t="n">
        <v>0</v>
      </c>
      <c r="F25" s="30" t="n">
        <v>1772.056809778281</v>
      </c>
      <c r="G25" s="31">
        <f>MIN(E25,Calculation!$B$3)*F25</f>
        <v/>
      </c>
      <c r="H25" s="4" t="inlineStr"/>
      <c r="I25" s="32" t="n">
        <v>0</v>
      </c>
      <c r="J25" s="29" t="n">
        <v>0</v>
      </c>
      <c r="K25" s="33" t="n">
        <v>0</v>
      </c>
      <c r="L25" s="29" t="n">
        <v>0</v>
      </c>
      <c r="M25" s="33" t="n">
        <v>0</v>
      </c>
      <c r="N25" s="31">
        <f>K25+M25</f>
        <v/>
      </c>
      <c r="O25" s="4" t="inlineStr">
        <is>
          <t>no wall on the property</t>
        </is>
      </c>
      <c r="P25" s="4" t="inlineStr">
        <is>
          <t>none</t>
        </is>
      </c>
      <c r="Q25" s="32" t="n">
        <v>0</v>
      </c>
      <c r="R25" s="29" t="n">
        <v>0</v>
      </c>
      <c r="S25" s="30" t="n">
        <v>0</v>
      </c>
      <c r="T25" s="33" t="n">
        <v>0</v>
      </c>
      <c r="U25" s="33" t="n">
        <v>0</v>
      </c>
      <c r="V25" s="29" t="n"/>
      <c r="W25" s="29" t="n"/>
      <c r="X25" s="29" t="n">
        <v>0</v>
      </c>
      <c r="Y25" s="29" t="n">
        <v>345.7075018575658</v>
      </c>
      <c r="Z25" s="34" t="n">
        <v>1</v>
      </c>
      <c r="AA25" s="31">
        <f>MIN(X25,Calculation!$B$3)*F25</f>
        <v/>
      </c>
      <c r="AB25" s="33" t="n">
        <v>200</v>
      </c>
      <c r="AC25" s="35" t="n">
        <v>1</v>
      </c>
      <c r="AD25" s="33" t="n">
        <v>0</v>
      </c>
      <c r="AE25" s="31">
        <f>N25+U25+AB25+AD25</f>
        <v/>
      </c>
      <c r="AF25" s="31">
        <f>AE25*Calculation!$B$9</f>
        <v/>
      </c>
      <c r="AG25" s="33" t="n">
        <v>0</v>
      </c>
      <c r="AH25" s="31">
        <f>AE25+AF25+AG25</f>
        <v/>
      </c>
      <c r="AI25" s="31">
        <f>MAX(G25,AA25)</f>
        <v/>
      </c>
      <c r="AJ25" s="31">
        <f>MIN(T25*(1+Calculation!$B$9),Calculation!$B$4*AC25)</f>
        <v/>
      </c>
      <c r="AK25" s="31">
        <f>AI25+AJ25+AG25</f>
        <v/>
      </c>
      <c r="AL25" s="31">
        <f>MIN(AH25,AK25)</f>
        <v/>
      </c>
      <c r="AM25" s="31">
        <f>MIN(MAX(AL25*Calculation!$B$5,Calculation!$B$6),Calculation!$B$7)*(AL25&gt;0)</f>
        <v/>
      </c>
      <c r="AN25" s="31">
        <f>MAX(0,AL25-AM25)</f>
        <v/>
      </c>
      <c r="AO25" s="31">
        <f>AN25/(1+Calculation!$B$9)</f>
        <v/>
      </c>
    </row>
    <row r="28">
      <c r="A28" s="36" t="inlineStr"/>
    </row>
    <row r="29">
      <c r="A29" s="37" t="inlineStr">
        <is>
          <t>How to read this tab</t>
        </is>
      </c>
    </row>
    <row r="30">
      <c r="A30" s="36" t="inlineStr">
        <is>
          <t>Each of the first three blocks is one asset, and asks the same four questions about it: what is it, what is it worth, what would repairing it cost, and what does it contribute. Block D turns the three answers into one settlement. Every dollar is GST-exclusive until block D adds GST once, on the row marked 'GST'.</t>
        </is>
      </c>
    </row>
    <row r="31">
      <c r="A31" s="36" t="inlineStr">
        <is>
          <t>The land values are the exception and are not GST-exclusive, because a market value is not a GST-bearing price. The Act caps cover at the market value of the damaged land, and the repair bill NHC pays carries GST, so the two sides of MIN(repair, cap) are compared on the GST-inclusive basis. Whether that is the intended reading is still open (Q-14).</t>
        </is>
      </c>
    </row>
    <row r="32">
      <c r="A32" s="36" t="inlineStr"/>
    </row>
    <row r="33">
      <c r="A33" s="37" t="inlineStr">
        <is>
          <t>Empty columns, and why</t>
        </is>
      </c>
    </row>
    <row r="34">
      <c r="A34" s="36" t="inlineStr">
        <is>
          <t>Imminent damage (block A) is not modelled yet. The agreed method is a second polygon of similar size centred on the same failure, its extra ground taken upslope to a new headscarp, with only the newly evacuated area counting. It belongs to vul and is calibrated off the claims reports.</t>
        </is>
      </c>
    </row>
    <row r="35">
      <c r="A35" s="36" t="inlineStr">
        <is>
          <t>The three liquefaction extents (block C) are empty because vul sends liquefaction as a damage state with no footprint at all. Lateral spreading is being modelled as a magnification of the probability of states 4 to 6 near waterways, which moves a property's state rather than drawing an area -- so these columns may never be fillable in the form the heading implies.</t>
        </is>
      </c>
    </row>
    <row r="36">
      <c r="A36" s="36" t="inlineStr"/>
    </row>
    <row r="37">
      <c r="A37" s="37" t="inlineStr">
        <is>
          <t>Assumptions behind each figure, to be confirmed</t>
        </is>
      </c>
    </row>
    <row r="38">
      <c r="A38" s="36" t="inlineStr">
        <is>
          <t>A1. One wall stands on a property, so a claim is charged for one wall. Where a retaining wall is already there it is taken to be damaged and is replaced, and that replacement in block B is the whole of the wall cost -- block A is empty. Where there is no wall, one is invented to hold the ground and block B is empty. The two never both appear (decided 2026-09-29).</t>
        </is>
      </c>
    </row>
    <row r="39">
      <c r="A39" s="36" t="inlineStr">
        <is>
          <t>A2. An invented wall is sized on the total damaged land -- the union of the evacuated and inundated footprints -- and on the deposit volume where an inundated depth gives one. Its length is twice the failure's depth plus 2 m at each end, never under 5 m. It is a remediation cost, not an asset, so it never reaches the cap: a wall that did not exist has no undepreciated value to contribute.</t>
        </is>
      </c>
    </row>
    <row r="40">
      <c r="A40" s="36" t="inlineStr">
        <is>
          <t>A3. Spoil is cleared at the costing tool's own rate, 'Clear site: Load, cart and tip material', $150 per cubic metre excluding GST. The same volume also sets the earthworks rating, which is worth watching for a double count.</t>
        </is>
      </c>
    </row>
    <row r="41">
      <c r="A41" s="36" t="inlineStr">
        <is>
          <t>B1. A wall already on the property is replaced rather than repaired: partial repair is about 1% of cases and is not modelled. Where the claim also has landslide ground, this replacement holds it, and no second wall is priced in block A.</t>
        </is>
      </c>
    </row>
    <row r="42">
      <c r="A42" s="36" t="inlineStr">
        <is>
          <t>B2. Nothing says which of the tool's 29 construction types a wall is, so 30% are priced as Reinforced Concrete and the rest take one of four timber pole rates, drawn by hashing the wall id. The replacement carries the site multiplier and a 20% allowance for being built to a better standard than the one that failed; the undepreciated value carries neither, which is the whole of the difference between them.</t>
        </is>
      </c>
    </row>
    <row r="43">
      <c r="A43" s="36" t="inlineStr">
        <is>
          <t>C1. Canterbury settled costs per property, $200 to $4,000 by damage state, in 2010/2011 dollars and NOT yet inflated. They exclude ILV and IFV, so they are the minor-damage tier only. The cap the state is compared against is the land rate over the whole insured area, because that is the scope those rates are per-property against.</t>
        </is>
      </c>
    </row>
    <row r="44">
      <c r="A44" s="36" t="inlineStr">
        <is>
          <t>D1. The six professional fees from the tool's fee table, $5,100 excluding GST, charged once on a claim that involves a wall and added before the site multiplier, so a difficult site costs more to design as well as to build. Mileage is excluded, and they never reach the undepreciated value.</t>
        </is>
      </c>
    </row>
    <row r="45">
      <c r="A45" s="36" t="inlineStr">
        <is>
          <t>D2. Nothing prices a culvert or bridge, so a damaged one is assumed to exceed its sub-cap and is settled at the limit -- which is why it appears on both sides and carries no GST line of its own.</t>
        </is>
      </c>
    </row>
    <row r="46">
      <c r="A46" s="36" t="inlineStr">
        <is>
          <t>D3. The cap's land value is the LARGER of block A's and block C's, not their sum. A section that both liquefied and was buried is one piece of damaged ground, and adding the two would value some of it twice.</t>
        </is>
      </c>
    </row>
    <row r="47">
      <c r="A47" s="36" t="inlineStr">
        <is>
          <t>D4. MIN(repair, cap) is taken once, at claim level, over every asset together. The excess is a share of what would otherwise be paid, floored and capped, and a claim paid nothing is charged nothing.</t>
        </is>
      </c>
    </row>
    <row r="48">
      <c r="A48" s="36" t="inlineStr"/>
    </row>
    <row r="49">
      <c r="A49" s="36" t="inlineStr">
        <is>
          <t>The three site ratings that mark up a wall's cost -- construction access, earthworks and constructability -- are proxied off driveway length, inundated volume and ground slope. All bands are invented. Together they can move a wall cost by at most 30%.</t>
        </is>
      </c>
    </row>
  </sheetData>
  <mergeCells count="4">
    <mergeCell ref="V4:AB4"/>
    <mergeCell ref="O4:U4"/>
    <mergeCell ref="B4:N4"/>
    <mergeCell ref="AC4:AO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2026-09-29T03:50:20Z</dcterms:created>
  <dcterms:modified xsi:type="dcterms:W3CDTF">2026-09-29T03:50:20Z</dcterms:modified>
</cp:coreProperties>
</file>