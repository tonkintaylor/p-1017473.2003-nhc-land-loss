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egi\Repositories\2026\p-1017473.2003-nhc-land-loss\report\loss\calc-walkthrough\"/>
    </mc:Choice>
  </mc:AlternateContent>
  <xr:revisionPtr revIDLastSave="0" documentId="8_{1F028FDD-93F4-428E-ACC5-D6E733DBD1BC}" xr6:coauthVersionLast="47" xr6:coauthVersionMax="47" xr10:uidLastSave="{00000000-0000-0000-0000-000000000000}"/>
  <bookViews>
    <workbookView xWindow="-120" yWindow="-120" windowWidth="29040" windowHeight="15720" xr2:uid="{00000000-000D-0000-FFFF-FFFF00000000}"/>
  </bookViews>
  <sheets>
    <sheet name="Overview" sheetId="1" r:id="rId1"/>
    <sheet name="Calculation" sheetId="2" r:id="rId2"/>
    <sheet name="Repair cos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4" i="3" l="1"/>
  <c r="P23" i="3"/>
  <c r="P22" i="3"/>
  <c r="P21" i="3"/>
  <c r="P20" i="3"/>
  <c r="P19" i="3"/>
  <c r="P18" i="3"/>
  <c r="P17" i="3"/>
  <c r="P16" i="3"/>
  <c r="P15" i="3"/>
  <c r="P14" i="3"/>
  <c r="P13" i="3"/>
  <c r="P12" i="3"/>
  <c r="P11" i="3"/>
  <c r="P10" i="3"/>
  <c r="P9" i="3"/>
  <c r="P8" i="3"/>
  <c r="P7" i="3"/>
  <c r="P6" i="3"/>
  <c r="P5" i="3"/>
  <c r="I34" i="2"/>
  <c r="F34" i="2"/>
  <c r="G33" i="2"/>
  <c r="E33" i="2"/>
  <c r="H33" i="2" s="1"/>
  <c r="J33" i="2" s="1"/>
  <c r="G32" i="2"/>
  <c r="E32" i="2"/>
  <c r="H32" i="2" s="1"/>
  <c r="J32" i="2" s="1"/>
  <c r="G31" i="2"/>
  <c r="E31" i="2"/>
  <c r="H31" i="2" s="1"/>
  <c r="J31" i="2" s="1"/>
  <c r="G30" i="2"/>
  <c r="E30" i="2"/>
  <c r="H30" i="2" s="1"/>
  <c r="J30" i="2" s="1"/>
  <c r="G29" i="2"/>
  <c r="E29" i="2"/>
  <c r="H29" i="2" s="1"/>
  <c r="J29" i="2" s="1"/>
  <c r="G28" i="2"/>
  <c r="E28" i="2"/>
  <c r="H28" i="2" s="1"/>
  <c r="J28" i="2" s="1"/>
  <c r="G27" i="2"/>
  <c r="E27" i="2"/>
  <c r="H27" i="2" s="1"/>
  <c r="J27" i="2" s="1"/>
  <c r="G26" i="2"/>
  <c r="E26" i="2"/>
  <c r="H26" i="2" s="1"/>
  <c r="J26" i="2" s="1"/>
  <c r="G25" i="2"/>
  <c r="H25" i="2" s="1"/>
  <c r="J25" i="2" s="1"/>
  <c r="E25" i="2"/>
  <c r="G24" i="2"/>
  <c r="E24" i="2"/>
  <c r="H24" i="2" s="1"/>
  <c r="J24" i="2" s="1"/>
  <c r="G23" i="2"/>
  <c r="E23" i="2"/>
  <c r="H23" i="2" s="1"/>
  <c r="J23" i="2" s="1"/>
  <c r="G22" i="2"/>
  <c r="E22" i="2"/>
  <c r="H22" i="2" s="1"/>
  <c r="J22" i="2" s="1"/>
  <c r="G21" i="2"/>
  <c r="E21" i="2"/>
  <c r="H21" i="2" s="1"/>
  <c r="J21" i="2" s="1"/>
  <c r="G20" i="2"/>
  <c r="E20" i="2"/>
  <c r="H20" i="2" s="1"/>
  <c r="J20" i="2" s="1"/>
  <c r="G19" i="2"/>
  <c r="E19" i="2"/>
  <c r="H19" i="2" s="1"/>
  <c r="J19" i="2" s="1"/>
  <c r="G18" i="2"/>
  <c r="E18" i="2"/>
  <c r="H18" i="2" s="1"/>
  <c r="J18" i="2" s="1"/>
  <c r="G17" i="2"/>
  <c r="E17" i="2"/>
  <c r="H17" i="2" s="1"/>
  <c r="J17" i="2" s="1"/>
  <c r="G16" i="2"/>
  <c r="E16" i="2"/>
  <c r="H16" i="2" s="1"/>
  <c r="J16" i="2" s="1"/>
  <c r="G15" i="2"/>
  <c r="H15" i="2" s="1"/>
  <c r="J15" i="2" s="1"/>
  <c r="E15" i="2"/>
  <c r="G14" i="2"/>
  <c r="E14" i="2"/>
  <c r="E34" i="2" s="1"/>
  <c r="K16" i="2" l="1"/>
  <c r="L16" i="2" s="1"/>
  <c r="K17" i="2"/>
  <c r="L17" i="2"/>
  <c r="K18" i="2"/>
  <c r="L18" i="2" s="1"/>
  <c r="K20" i="2"/>
  <c r="L20" i="2" s="1"/>
  <c r="K33" i="2"/>
  <c r="L33" i="2" s="1"/>
  <c r="K15" i="2"/>
  <c r="L15" i="2" s="1"/>
  <c r="K26" i="2"/>
  <c r="L26" i="2" s="1"/>
  <c r="K28" i="2"/>
  <c r="L28" i="2" s="1"/>
  <c r="K29" i="2"/>
  <c r="L29" i="2" s="1"/>
  <c r="K32" i="2"/>
  <c r="L32" i="2" s="1"/>
  <c r="K25" i="2"/>
  <c r="L25" i="2" s="1"/>
  <c r="K27" i="2"/>
  <c r="L27" i="2" s="1"/>
  <c r="K19" i="2"/>
  <c r="L19" i="2"/>
  <c r="K30" i="2"/>
  <c r="L30" i="2" s="1"/>
  <c r="K21" i="2"/>
  <c r="L21" i="2"/>
  <c r="K31" i="2"/>
  <c r="L31" i="2" s="1"/>
  <c r="K22" i="2"/>
  <c r="L22" i="2" s="1"/>
  <c r="K23" i="2"/>
  <c r="L23" i="2" s="1"/>
  <c r="K24" i="2"/>
  <c r="L24" i="2" s="1"/>
  <c r="H14" i="2"/>
  <c r="J14" i="2" l="1"/>
  <c r="H34" i="2"/>
  <c r="J34" i="2" l="1"/>
  <c r="K14" i="2"/>
  <c r="K34" i="2" s="1"/>
  <c r="L14" i="2" l="1"/>
  <c r="L34" i="2" s="1"/>
</calcChain>
</file>

<file path=xl/sharedStrings.xml><?xml version="1.0" encoding="utf-8"?>
<sst xmlns="http://schemas.openxmlformats.org/spreadsheetml/2006/main" count="218" uniqueCount="136">
  <si>
    <t>Loss calculation walkthrough</t>
  </si>
  <si>
    <t>Chart data</t>
  </si>
  <si>
    <t>Every claim in the run. The Calculation tab works twenty of them through line by line.</t>
  </si>
  <si>
    <t>Area cap (m2)</t>
  </si>
  <si>
    <t>Claims by settlement ($)</t>
  </si>
  <si>
    <t>Liquefaction only</t>
  </si>
  <si>
    <t>Retaining wall only</t>
  </si>
  <si>
    <t>Both</t>
  </si>
  <si>
    <t>Total</t>
  </si>
  <si>
    <t>Retaining wall sub-cap per dwelling, incl GST ($)</t>
  </si>
  <si>
    <t>0-0.5k</t>
  </si>
  <si>
    <t>Land excess, share of what is payable</t>
  </si>
  <si>
    <t>0.5-1k</t>
  </si>
  <si>
    <t>Land excess floor, per claim ($)</t>
  </si>
  <si>
    <t>1-2.5k</t>
  </si>
  <si>
    <t>Land excess ceiling ($)</t>
  </si>
  <si>
    <t>2.5-5k</t>
  </si>
  <si>
    <t>Timber pole average rate, for reference ($/m2)</t>
  </si>
  <si>
    <t>5-10k</t>
  </si>
  <si>
    <t>GST rate</t>
  </si>
  <si>
    <t>10-25k</t>
  </si>
  <si>
    <t>Across the whole run</t>
  </si>
  <si>
    <t>25-50k</t>
  </si>
  <si>
    <t>Claims</t>
  </si>
  <si>
    <t>over 50k</t>
  </si>
  <si>
    <t>Claims paid anything</t>
  </si>
  <si>
    <t>Total settlement ($)</t>
  </si>
  <si>
    <t>Median settlement, of those paid ($)</t>
  </si>
  <si>
    <t>Claims by repair cost ($)</t>
  </si>
  <si>
    <t>Total repair cost ($)</t>
  </si>
  <si>
    <t>Claims where the cap binds and there is damaged land</t>
  </si>
  <si>
    <t>The cap binds on many more claims than that, but only these have damaged land. On the rest the cap is the wall's value and the repair is that value plus the allowances, so it caps by arithmetic rather than as a result.</t>
  </si>
  <si>
    <t>Claims by land cover cap ($)</t>
  </si>
  <si>
    <t>0-100k</t>
  </si>
  <si>
    <t>100-250k</t>
  </si>
  <si>
    <t>250-500k</t>
  </si>
  <si>
    <t>500-750k</t>
  </si>
  <si>
    <t>750k-1m</t>
  </si>
  <si>
    <t>1-2m</t>
  </si>
  <si>
    <t>over 2m</t>
  </si>
  <si>
    <t>Repair cost by line ($)</t>
  </si>
  <si>
    <t>Total ($)</t>
  </si>
  <si>
    <t>Walls replaced</t>
  </si>
  <si>
    <t>New walls</t>
  </si>
  <si>
    <t>Spoil cleared</t>
  </si>
  <si>
    <t>Fees</t>
  </si>
  <si>
    <t>Liquefaction</t>
  </si>
  <si>
    <t>Crossings</t>
  </si>
  <si>
    <t>Twenty claims chosen to show one of each case, not sampled at random. Yellow cells are the policy settings the run used.</t>
  </si>
  <si>
    <t>Claim</t>
  </si>
  <si>
    <t>Dwellings</t>
  </si>
  <si>
    <t>Damaged land, for the cap (m2)</t>
  </si>
  <si>
    <t>Land rate incl GST ($/m2)</t>
  </si>
  <si>
    <t>Land value ($)</t>
  </si>
  <si>
    <t>Wall UDV ($)</t>
  </si>
  <si>
    <t>Wall to cap ($)</t>
  </si>
  <si>
    <t>Land cover cap ($)</t>
  </si>
  <si>
    <t>Repair cost ($)</t>
  </si>
  <si>
    <t>Payable before excess ($)</t>
  </si>
  <si>
    <t>Excess ($)</t>
  </si>
  <si>
    <t>Settlement ($)</t>
  </si>
  <si>
    <t>Why this claim</t>
  </si>
  <si>
    <t>whole insured area where liquefied, else the slip</t>
  </si>
  <si>
    <t>MIN(damaged land, area cap) x land rate</t>
  </si>
  <si>
    <t>face area x wall rate x GST; see the Repair cost tab</t>
  </si>
  <si>
    <t>MIN(wall UDV, sub-cap x dwellings)</t>
  </si>
  <si>
    <t>land value + wall to cap</t>
  </si>
  <si>
    <t>MIN(repair cost, cap) -- the Act pays the lesser</t>
  </si>
  <si>
    <t>a share of what is payable, floored and capped</t>
  </si>
  <si>
    <t>payable less the excess, never below zero</t>
  </si>
  <si>
    <t>03dc0301-b79a-4927-9dc7-cd7e95fc9aaf</t>
  </si>
  <si>
    <t>the cap binds</t>
  </si>
  <si>
    <t>331011f8-ce50-46ad-9aeb-03fffa6c8506</t>
  </si>
  <si>
    <t>36df7f1f-d454-4fd8-9751-1db3ad4e883a</t>
  </si>
  <si>
    <t>3c9cb87a-ae7d-4616-b2f0-ffff94a2930b</t>
  </si>
  <si>
    <t>06953c1e-a185-4880-a3e8-203ab7d4220a</t>
  </si>
  <si>
    <t>landslide, new wall built</t>
  </si>
  <si>
    <t>0af1f540-21f2-4654-97ed-047e9a0d7e42</t>
  </si>
  <si>
    <t>0bc8522b-2de5-402b-b82e-ebb534151ee9</t>
  </si>
  <si>
    <t>0fb3766f-33f4-4b9d-95c4-74dbfc6876dd</t>
  </si>
  <si>
    <t>0035a155-c4d3-4860-80e0-6c17481b3d61</t>
  </si>
  <si>
    <t>damaged wall</t>
  </si>
  <si>
    <t>00745333-cf86-4178-8cf6-cd6f9d7d5cbd</t>
  </si>
  <si>
    <t>00a83d76-9c9c-4d92-8d56-b16f1336cabb</t>
  </si>
  <si>
    <t>01b4d137-3ac2-408b-9de3-c572fc374ef4</t>
  </si>
  <si>
    <t>0017e6f7-95ee-4d2a-8bff-569d98d70ec8</t>
  </si>
  <si>
    <t>liquefaction only</t>
  </si>
  <si>
    <t>00191a75-aed6-4265-a79b-faa275f0040c</t>
  </si>
  <si>
    <t>001e2f9c-9846-4a4d-aff2-1de9e7b091c7</t>
  </si>
  <si>
    <t>0055aa62-333d-49e8-8a1b-4277448835ed</t>
  </si>
  <si>
    <t>002e15d9-b27f-4a99-b94d-703b11215eab</t>
  </si>
  <si>
    <t>several dwellings</t>
  </si>
  <si>
    <t>0120d782-7901-4838-9ae8-012ec8626771</t>
  </si>
  <si>
    <t>paid nothing, excess took it</t>
  </si>
  <si>
    <t>012c131a-dea5-4ece-8e66-1e6f0f73959e</t>
  </si>
  <si>
    <t>015ac9d8-763d-4df5-b585-423b129c132f</t>
  </si>
  <si>
    <t>Total, these 20 claims</t>
  </si>
  <si>
    <t>Black cells are live formulas and blue ones are inputs. Change a yellow setting above -- the excess rate, its ceiling, the area cap -- and every row and the totals follow. How a wall was priced is on the Repair cost tab.</t>
  </si>
  <si>
    <t>Where the repair cost comes from</t>
  </si>
  <si>
    <t>Every line is an assumption, not a measurement. They are numbered so they can be referred to and decided one at a time.</t>
  </si>
  <si>
    <t>Wall size</t>
  </si>
  <si>
    <t>Wall height (m)</t>
  </si>
  <si>
    <t>Wall length (m)</t>
  </si>
  <si>
    <t>Wall rate excl GST ($/m2)</t>
  </si>
  <si>
    <t>1. Damaged wall replaced ($)</t>
  </si>
  <si>
    <t>Landslide ground not covered by that wall (m2)</t>
  </si>
  <si>
    <t>New wall size</t>
  </si>
  <si>
    <t>New wall height (m)</t>
  </si>
  <si>
    <t>New wall length (m)</t>
  </si>
  <si>
    <t>2. New wall for landslide ground ($)</t>
  </si>
  <si>
    <t>3. Spoil cleared ($)</t>
  </si>
  <si>
    <t>4. Fees: consent, design, engineering, H&amp;S, PM, survey ($)</t>
  </si>
  <si>
    <t>5. Liquefaction, Canterbury rates ($)</t>
  </si>
  <si>
    <t>6. Culvert or bridge at sub-cap ($)</t>
  </si>
  <si>
    <t>Total repair ($)</t>
  </si>
  <si>
    <t>medium</t>
  </si>
  <si>
    <t>large</t>
  </si>
  <si>
    <t>none</t>
  </si>
  <si>
    <t>small</t>
  </si>
  <si>
    <t>Assumptions behind each column, to be confirmed:</t>
  </si>
  <si>
    <t>1. Nothing says which of the tool's 29 construction types a wall is, so 30% are priced as Reinforced Concrete and the rest take one of four timber pole rates, drawn by hashing the wall id. The repair carries the site multiplier and a 20% allowance for the replacement being a better wall than the one that failed; the undepreciated value carries neither.</t>
  </si>
  <si>
    <t>2. A damaged wall is assumed to reinstate one metre of land for every metre of its length. Landslide ground beyond that gets a wall invented for it, sized by the uncovered area and the deposit volume, its length twice its depth plus 2 m at each end and never under 5 m. NOTE the uncovered area is the LANDSLIDE area only - liquefied ground is not remediated by a wall.</t>
  </si>
  <si>
    <t>3. Spoil is cleared at the costing tool's own rate, 'Clear site: Load, cart and tip material', $150 per cubic metre excluding GST. The same volume also sets the earthworks rating, which is worth watching for a double count.</t>
  </si>
  <si>
    <t>4. The six professional fees from the tool's fee table, $5,100 excluding GST, charged once on a claim that involves a wall and added before the site multiplier so a difficult site costs more to design as well as to build. Mileage is excluded, and they never reach the undepreciated value.</t>
  </si>
  <si>
    <t>5. Canterbury settled costs per property, $200 to $4,000 by damage state. 2010/2011 dollars, grossed up for GST but NOT inflated. They exclude ILV and IFV, so they are the minor-damage tier only.</t>
  </si>
  <si>
    <t>6. Nothing prices a culvert or bridge, so a damaged one is assumed to exceed its sub-cap and is settled at the limit.</t>
  </si>
  <si>
    <t>The three site ratings that mark up a wall's cost - construction access, earthworks and constructability - are proxied off driveway length, inundated volume and ground slope. All bands are invented. Together they can move a wall cost by at most 30%.</t>
  </si>
  <si>
    <t>RTW replacement rate ($/m2)</t>
  </si>
  <si>
    <t>RTW replacement cost ($)</t>
  </si>
  <si>
    <t>Split into evacuated/inundated/total damaged landslide area +  additional evacuated land behind RTW</t>
  </si>
  <si>
    <t>Replacement RTW wall cost to repair evacuated land</t>
  </si>
  <si>
    <t>Repair of inundated land (removal of spoil)</t>
  </si>
  <si>
    <t>Engineering fees (design, survey, consents, construction observations, project management)</t>
  </si>
  <si>
    <t>Add number of dwellings + RTW cap</t>
  </si>
  <si>
    <t>Inundated/evacuated (includes lateral spreading) area/total area + Liquefaction damage cost</t>
  </si>
  <si>
    <t>Add imminent damage for inundation/evacuation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</si>
</sst>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
    <numFmt numFmtId="167" formatCode="#,##0.0"/>
  </numFmts>
  <fonts count="12" x14ac:knownFonts="1">
    <font>
      <sz val="11"/>
      <color theme="1"/>
      <name val="Calibri"/>
      <family val="2"/>
      <scheme val="minor"/>
    </font>
    <font>
      <b/>
      <sz val="12"/>
      <name val="Arial"/>
    </font>
    <font>
      <i/>
      <sz val="9"/>
      <name val="Arial"/>
    </font>
    <font>
      <sz val="10"/>
      <name val="Arial"/>
    </font>
    <font>
      <sz val="10"/>
      <color rgb="FF0000FF"/>
      <name val="Arial"/>
    </font>
    <font>
      <b/>
      <sz val="10"/>
      <name val="Arial"/>
    </font>
    <font>
      <b/>
      <sz val="14"/>
      <name val="Arial"/>
    </font>
    <font>
      <b/>
      <sz val="10"/>
      <color rgb="FFFFFFFF"/>
      <name val="Arial"/>
    </font>
    <font>
      <i/>
      <sz val="8"/>
      <color rgb="FF808080"/>
      <name val="Arial"/>
    </font>
    <font>
      <sz val="10"/>
      <color rgb="FF000000"/>
      <name val="Arial"/>
    </font>
    <font>
      <sz val="9"/>
      <name val="Arial"/>
    </font>
    <font>
      <b/>
      <sz val="9"/>
      <name val="Arial"/>
    </font>
  </fonts>
  <fills count="4">
    <fill>
      <patternFill patternType="none"/>
    </fill>
    <fill>
      <patternFill patternType="gray125"/>
    </fill>
    <fill>
      <patternFill patternType="solid">
        <fgColor rgb="FFFFFF00"/>
      </patternFill>
    </fill>
    <fill>
      <patternFill patternType="solid">
        <fgColor rgb="FF44546A"/>
      </patternFill>
    </fill>
  </fills>
  <borders count="2">
    <border>
      <left/>
      <right/>
      <top/>
      <bottom/>
      <diagonal/>
    </border>
    <border>
      <left/>
      <right/>
      <top/>
      <bottom style="thin">
        <color rgb="FFBFBFBF"/>
      </bottom>
      <diagonal/>
    </border>
  </borders>
  <cellStyleXfs count="1">
    <xf numFmtId="0" fontId="0" fillId="0" borderId="0"/>
  </cellStyleXfs>
  <cellXfs count="33">
    <xf numFmtId="0" fontId="0" fillId="0" borderId="0" xfId="0"/>
    <xf numFmtId="0" fontId="1" fillId="0" borderId="0" xfId="0" applyFont="1"/>
    <xf numFmtId="0" fontId="5" fillId="0" borderId="0" xfId="0" applyFont="1"/>
    <xf numFmtId="0" fontId="2" fillId="0" borderId="0" xfId="0" applyFont="1"/>
    <xf numFmtId="0" fontId="3" fillId="0" borderId="0" xfId="0" applyFont="1"/>
    <xf numFmtId="3" fontId="4" fillId="2" borderId="0" xfId="0" applyNumberFormat="1" applyFont="1" applyFill="1"/>
    <xf numFmtId="164" fontId="4" fillId="2" borderId="0" xfId="0" applyNumberFormat="1" applyFont="1" applyFill="1"/>
    <xf numFmtId="3" fontId="3" fillId="0" borderId="0" xfId="0" applyNumberFormat="1" applyFont="1"/>
    <xf numFmtId="3" fontId="5" fillId="0" borderId="0" xfId="0" applyNumberFormat="1" applyFont="1"/>
    <xf numFmtId="165" fontId="4" fillId="2" borderId="0" xfId="0" applyNumberFormat="1" applyFont="1" applyFill="1"/>
    <xf numFmtId="166" fontId="4" fillId="2" borderId="0" xfId="0" applyNumberFormat="1" applyFont="1" applyFill="1"/>
    <xf numFmtId="3" fontId="6" fillId="0" borderId="0" xfId="0" applyNumberFormat="1" applyFont="1"/>
    <xf numFmtId="164" fontId="6" fillId="0" borderId="0" xfId="0" applyNumberFormat="1" applyFont="1"/>
    <xf numFmtId="164" fontId="3" fillId="0" borderId="0" xfId="0" applyNumberFormat="1" applyFont="1"/>
    <xf numFmtId="0" fontId="7" fillId="3" borderId="0" xfId="0" applyFont="1" applyFill="1" applyAlignment="1">
      <alignment vertical="center" wrapText="1"/>
    </xf>
    <xf numFmtId="0" fontId="7" fillId="3" borderId="0" xfId="0" applyFont="1" applyFill="1"/>
    <xf numFmtId="0" fontId="8" fillId="0" borderId="0" xfId="0" applyFont="1" applyAlignment="1">
      <alignment vertical="top" wrapText="1"/>
    </xf>
    <xf numFmtId="0" fontId="3" fillId="0" borderId="1" xfId="0" applyFont="1" applyBorder="1"/>
    <xf numFmtId="3" fontId="4" fillId="0" borderId="1" xfId="0" applyNumberFormat="1" applyFont="1" applyBorder="1"/>
    <xf numFmtId="167" fontId="4" fillId="0" borderId="1" xfId="0" applyNumberFormat="1" applyFont="1" applyBorder="1"/>
    <xf numFmtId="166" fontId="4" fillId="0" borderId="1" xfId="0" applyNumberFormat="1" applyFont="1" applyBorder="1"/>
    <xf numFmtId="164" fontId="9" fillId="0" borderId="1" xfId="0" applyNumberFormat="1" applyFont="1" applyBorder="1"/>
    <xf numFmtId="164" fontId="4" fillId="0" borderId="1" xfId="0" applyNumberFormat="1" applyFont="1" applyBorder="1"/>
    <xf numFmtId="0" fontId="2" fillId="0" borderId="1" xfId="0" applyFont="1" applyBorder="1"/>
    <xf numFmtId="164" fontId="5" fillId="0" borderId="0" xfId="0" applyNumberFormat="1" applyFont="1"/>
    <xf numFmtId="0" fontId="4" fillId="0" borderId="0" xfId="0" applyFont="1"/>
    <xf numFmtId="2" fontId="4" fillId="0" borderId="0" xfId="0" applyNumberFormat="1" applyFont="1"/>
    <xf numFmtId="167" fontId="4" fillId="0" borderId="0" xfId="0" applyNumberFormat="1" applyFont="1"/>
    <xf numFmtId="166" fontId="4" fillId="0" borderId="0" xfId="0" applyNumberFormat="1" applyFont="1"/>
    <xf numFmtId="164" fontId="4" fillId="0" borderId="0" xfId="0" applyNumberFormat="1" applyFont="1"/>
    <xf numFmtId="164" fontId="9" fillId="0" borderId="0" xfId="0" applyNumberFormat="1" applyFont="1"/>
    <xf numFmtId="0" fontId="10" fillId="0" borderId="0" xfId="0" applyFont="1" applyAlignment="1">
      <alignment vertical="top" wrapText="1"/>
    </xf>
    <xf numFmtId="0" fontId="1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NZ"/>
              <a:t>Claims by settlement ($)</a:t>
            </a:r>
          </a:p>
        </c:rich>
      </c:tx>
      <c:overlay val="0"/>
    </c:title>
    <c:autoTitleDeleted val="0"/>
    <c:plotArea>
      <c:layout/>
      <c:barChart>
        <c:barDir val="col"/>
        <c:grouping val="stacked"/>
        <c:varyColors val="1"/>
        <c:ser>
          <c:idx val="0"/>
          <c:order val="0"/>
          <c:tx>
            <c:strRef>
              <c:f>Overview!$S$3</c:f>
              <c:strCache>
                <c:ptCount val="1"/>
                <c:pt idx="0">
                  <c:v>Liquefaction only</c:v>
                </c:pt>
              </c:strCache>
            </c:strRef>
          </c:tx>
          <c:spPr>
            <a:solidFill>
              <a:srgbClr val="2A78D6"/>
            </a:solidFill>
            <a:ln w="12700">
              <a:solidFill>
                <a:srgbClr val="FFFFFF"/>
              </a:solidFill>
              <a:prstDash val="solid"/>
            </a:ln>
          </c:spPr>
          <c:invertIfNegative val="1"/>
          <c:cat>
            <c:strRef>
              <c:f>Overview!$R$4:$R$11</c:f>
              <c:strCache>
                <c:ptCount val="8"/>
                <c:pt idx="0">
                  <c:v>0-0.5k</c:v>
                </c:pt>
                <c:pt idx="1">
                  <c:v>0.5-1k</c:v>
                </c:pt>
                <c:pt idx="2">
                  <c:v>1-2.5k</c:v>
                </c:pt>
                <c:pt idx="3">
                  <c:v>2.5-5k</c:v>
                </c:pt>
                <c:pt idx="4">
                  <c:v>5-10k</c:v>
                </c:pt>
                <c:pt idx="5">
                  <c:v>10-25k</c:v>
                </c:pt>
                <c:pt idx="6">
                  <c:v>25-50k</c:v>
                </c:pt>
                <c:pt idx="7">
                  <c:v>over 50k</c:v>
                </c:pt>
              </c:strCache>
            </c:strRef>
          </c:cat>
          <c:val>
            <c:numRef>
              <c:f>Overview!$S$4:$S$11</c:f>
              <c:numCache>
                <c:formatCode>#,##0</c:formatCode>
                <c:ptCount val="8"/>
                <c:pt idx="0">
                  <c:v>849</c:v>
                </c:pt>
                <c:pt idx="1">
                  <c:v>0</c:v>
                </c:pt>
                <c:pt idx="2">
                  <c:v>676</c:v>
                </c:pt>
                <c:pt idx="3">
                  <c:v>191</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w="12700">
                    <a:solidFill>
                      <a:srgbClr val="FFFFFF"/>
                    </a:solidFill>
                    <a:prstDash val="solid"/>
                  </a:ln>
                </c14:spPr>
              </c14:invertSolidFillFmt>
            </c:ext>
            <c:ext xmlns:c16="http://schemas.microsoft.com/office/drawing/2014/chart" uri="{C3380CC4-5D6E-409C-BE32-E72D297353CC}">
              <c16:uniqueId val="{00000000-E15E-4677-BD10-C37571710F7D}"/>
            </c:ext>
          </c:extLst>
        </c:ser>
        <c:ser>
          <c:idx val="1"/>
          <c:order val="1"/>
          <c:tx>
            <c:strRef>
              <c:f>Overview!$T$3</c:f>
              <c:strCache>
                <c:ptCount val="1"/>
                <c:pt idx="0">
                  <c:v>Retaining wall only</c:v>
                </c:pt>
              </c:strCache>
            </c:strRef>
          </c:tx>
          <c:spPr>
            <a:solidFill>
              <a:srgbClr val="EB6834"/>
            </a:solidFill>
            <a:ln w="12700">
              <a:solidFill>
                <a:srgbClr val="FFFFFF"/>
              </a:solidFill>
              <a:prstDash val="solid"/>
            </a:ln>
          </c:spPr>
          <c:invertIfNegative val="1"/>
          <c:cat>
            <c:strRef>
              <c:f>Overview!$R$4:$R$11</c:f>
              <c:strCache>
                <c:ptCount val="8"/>
                <c:pt idx="0">
                  <c:v>0-0.5k</c:v>
                </c:pt>
                <c:pt idx="1">
                  <c:v>0.5-1k</c:v>
                </c:pt>
                <c:pt idx="2">
                  <c:v>1-2.5k</c:v>
                </c:pt>
                <c:pt idx="3">
                  <c:v>2.5-5k</c:v>
                </c:pt>
                <c:pt idx="4">
                  <c:v>5-10k</c:v>
                </c:pt>
                <c:pt idx="5">
                  <c:v>10-25k</c:v>
                </c:pt>
                <c:pt idx="6">
                  <c:v>25-50k</c:v>
                </c:pt>
                <c:pt idx="7">
                  <c:v>over 50k</c:v>
                </c:pt>
              </c:strCache>
            </c:strRef>
          </c:cat>
          <c:val>
            <c:numRef>
              <c:f>Overview!$T$4:$T$11</c:f>
              <c:numCache>
                <c:formatCode>#,##0</c:formatCode>
                <c:ptCount val="8"/>
                <c:pt idx="0">
                  <c:v>0</c:v>
                </c:pt>
                <c:pt idx="1">
                  <c:v>0</c:v>
                </c:pt>
                <c:pt idx="2">
                  <c:v>1</c:v>
                </c:pt>
                <c:pt idx="3">
                  <c:v>12</c:v>
                </c:pt>
                <c:pt idx="4">
                  <c:v>59</c:v>
                </c:pt>
                <c:pt idx="5">
                  <c:v>290</c:v>
                </c:pt>
                <c:pt idx="6">
                  <c:v>69</c:v>
                </c:pt>
                <c:pt idx="7">
                  <c:v>3</c:v>
                </c:pt>
              </c:numCache>
            </c:numRef>
          </c:val>
          <c:extLst>
            <c:ext xmlns:c14="http://schemas.microsoft.com/office/drawing/2007/8/2/chart" uri="{6F2FDCE9-48DA-4B69-8628-5D25D57E5C99}">
              <c14:invertSolidFillFmt>
                <c14:spPr xmlns:c14="http://schemas.microsoft.com/office/drawing/2007/8/2/chart">
                  <a:solidFill>
                    <a:srgbClr val="FFFFFF"/>
                  </a:solidFill>
                  <a:ln w="12700">
                    <a:solidFill>
                      <a:srgbClr val="FFFFFF"/>
                    </a:solidFill>
                    <a:prstDash val="solid"/>
                  </a:ln>
                </c14:spPr>
              </c14:invertSolidFillFmt>
            </c:ext>
            <c:ext xmlns:c16="http://schemas.microsoft.com/office/drawing/2014/chart" uri="{C3380CC4-5D6E-409C-BE32-E72D297353CC}">
              <c16:uniqueId val="{00000001-E15E-4677-BD10-C37571710F7D}"/>
            </c:ext>
          </c:extLst>
        </c:ser>
        <c:ser>
          <c:idx val="2"/>
          <c:order val="2"/>
          <c:tx>
            <c:strRef>
              <c:f>Overview!$U$3</c:f>
              <c:strCache>
                <c:ptCount val="1"/>
                <c:pt idx="0">
                  <c:v>Both</c:v>
                </c:pt>
              </c:strCache>
            </c:strRef>
          </c:tx>
          <c:spPr>
            <a:solidFill>
              <a:srgbClr val="1BAF7A"/>
            </a:solidFill>
            <a:ln w="12700">
              <a:solidFill>
                <a:srgbClr val="FFFFFF"/>
              </a:solidFill>
              <a:prstDash val="solid"/>
            </a:ln>
          </c:spPr>
          <c:invertIfNegative val="1"/>
          <c:cat>
            <c:strRef>
              <c:f>Overview!$R$4:$R$11</c:f>
              <c:strCache>
                <c:ptCount val="8"/>
                <c:pt idx="0">
                  <c:v>0-0.5k</c:v>
                </c:pt>
                <c:pt idx="1">
                  <c:v>0.5-1k</c:v>
                </c:pt>
                <c:pt idx="2">
                  <c:v>1-2.5k</c:v>
                </c:pt>
                <c:pt idx="3">
                  <c:v>2.5-5k</c:v>
                </c:pt>
                <c:pt idx="4">
                  <c:v>5-10k</c:v>
                </c:pt>
                <c:pt idx="5">
                  <c:v>10-25k</c:v>
                </c:pt>
                <c:pt idx="6">
                  <c:v>25-50k</c:v>
                </c:pt>
                <c:pt idx="7">
                  <c:v>over 50k</c:v>
                </c:pt>
              </c:strCache>
            </c:strRef>
          </c:cat>
          <c:val>
            <c:numRef>
              <c:f>Overview!$U$4:$U$11</c:f>
              <c:numCache>
                <c:formatCode>#,##0</c:formatCode>
                <c:ptCount val="8"/>
                <c:pt idx="0">
                  <c:v>0</c:v>
                </c:pt>
                <c:pt idx="1">
                  <c:v>0</c:v>
                </c:pt>
                <c:pt idx="2">
                  <c:v>0</c:v>
                </c:pt>
                <c:pt idx="3">
                  <c:v>4</c:v>
                </c:pt>
                <c:pt idx="4">
                  <c:v>14</c:v>
                </c:pt>
                <c:pt idx="5">
                  <c:v>76</c:v>
                </c:pt>
                <c:pt idx="6">
                  <c:v>28</c:v>
                </c:pt>
                <c:pt idx="7">
                  <c:v>11</c:v>
                </c:pt>
              </c:numCache>
            </c:numRef>
          </c:val>
          <c:extLst>
            <c:ext xmlns:c14="http://schemas.microsoft.com/office/drawing/2007/8/2/chart" uri="{6F2FDCE9-48DA-4B69-8628-5D25D57E5C99}">
              <c14:invertSolidFillFmt>
                <c14:spPr xmlns:c14="http://schemas.microsoft.com/office/drawing/2007/8/2/chart">
                  <a:solidFill>
                    <a:srgbClr val="FFFFFF"/>
                  </a:solidFill>
                  <a:ln w="12700">
                    <a:solidFill>
                      <a:srgbClr val="FFFFFF"/>
                    </a:solidFill>
                    <a:prstDash val="solid"/>
                  </a:ln>
                </c14:spPr>
              </c14:invertSolidFillFmt>
            </c:ext>
            <c:ext xmlns:c16="http://schemas.microsoft.com/office/drawing/2014/chart" uri="{C3380CC4-5D6E-409C-BE32-E72D297353CC}">
              <c16:uniqueId val="{00000002-E15E-4677-BD10-C37571710F7D}"/>
            </c:ext>
          </c:extLst>
        </c:ser>
        <c:dLbls>
          <c:showLegendKey val="0"/>
          <c:showVal val="0"/>
          <c:showCatName val="0"/>
          <c:showSerName val="0"/>
          <c:showPercent val="0"/>
          <c:showBubbleSize val="0"/>
        </c:dLbls>
        <c:gapWidth val="8"/>
        <c:overlap val="100"/>
        <c:axId val="10"/>
        <c:axId val="100"/>
      </c:barChart>
      <c:catAx>
        <c:axId val="10"/>
        <c:scaling>
          <c:orientation val="minMax"/>
        </c:scaling>
        <c:delete val="0"/>
        <c:axPos val="b"/>
        <c:numFmt formatCode="General" sourceLinked="1"/>
        <c:majorTickMark val="out"/>
        <c:minorTickMark val="none"/>
        <c:tickLblPos val="low"/>
        <c:crossAx val="100"/>
        <c:crosses val="autoZero"/>
        <c:auto val="1"/>
        <c:lblAlgn val="ctr"/>
        <c:lblOffset val="100"/>
        <c:noMultiLvlLbl val="1"/>
      </c:catAx>
      <c:valAx>
        <c:axId val="100"/>
        <c:scaling>
          <c:orientation val="minMax"/>
        </c:scaling>
        <c:delete val="0"/>
        <c:axPos val="l"/>
        <c:majorGridlines/>
        <c:numFmt formatCode="#,##0" sourceLinked="1"/>
        <c:majorTickMark val="out"/>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NZ"/>
              <a:t>Claims by repair cost ($)</a:t>
            </a:r>
          </a:p>
        </c:rich>
      </c:tx>
      <c:overlay val="0"/>
    </c:title>
    <c:autoTitleDeleted val="0"/>
    <c:plotArea>
      <c:layout/>
      <c:barChart>
        <c:barDir val="col"/>
        <c:grouping val="stacked"/>
        <c:varyColors val="1"/>
        <c:ser>
          <c:idx val="0"/>
          <c:order val="0"/>
          <c:tx>
            <c:strRef>
              <c:f>Overview!$S$14</c:f>
              <c:strCache>
                <c:ptCount val="1"/>
                <c:pt idx="0">
                  <c:v>Liquefaction only</c:v>
                </c:pt>
              </c:strCache>
            </c:strRef>
          </c:tx>
          <c:spPr>
            <a:solidFill>
              <a:srgbClr val="2A78D6"/>
            </a:solidFill>
            <a:ln w="12700">
              <a:solidFill>
                <a:srgbClr val="FFFFFF"/>
              </a:solidFill>
              <a:prstDash val="solid"/>
            </a:ln>
          </c:spPr>
          <c:invertIfNegative val="1"/>
          <c:cat>
            <c:strRef>
              <c:f>Overview!$R$15:$R$22</c:f>
              <c:strCache>
                <c:ptCount val="8"/>
                <c:pt idx="0">
                  <c:v>0-0.5k</c:v>
                </c:pt>
                <c:pt idx="1">
                  <c:v>0.5-1k</c:v>
                </c:pt>
                <c:pt idx="2">
                  <c:v>1-2.5k</c:v>
                </c:pt>
                <c:pt idx="3">
                  <c:v>2.5-5k</c:v>
                </c:pt>
                <c:pt idx="4">
                  <c:v>5-10k</c:v>
                </c:pt>
                <c:pt idx="5">
                  <c:v>10-25k</c:v>
                </c:pt>
                <c:pt idx="6">
                  <c:v>25-50k</c:v>
                </c:pt>
                <c:pt idx="7">
                  <c:v>over 50k</c:v>
                </c:pt>
              </c:strCache>
            </c:strRef>
          </c:cat>
          <c:val>
            <c:numRef>
              <c:f>Overview!$S$15:$S$22</c:f>
              <c:numCache>
                <c:formatCode>#,##0</c:formatCode>
                <c:ptCount val="8"/>
                <c:pt idx="0">
                  <c:v>635</c:v>
                </c:pt>
                <c:pt idx="1">
                  <c:v>849</c:v>
                </c:pt>
                <c:pt idx="2">
                  <c:v>581</c:v>
                </c:pt>
                <c:pt idx="3">
                  <c:v>286</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w="12700">
                    <a:solidFill>
                      <a:srgbClr val="FFFFFF"/>
                    </a:solidFill>
                    <a:prstDash val="solid"/>
                  </a:ln>
                </c14:spPr>
              </c14:invertSolidFillFmt>
            </c:ext>
            <c:ext xmlns:c16="http://schemas.microsoft.com/office/drawing/2014/chart" uri="{C3380CC4-5D6E-409C-BE32-E72D297353CC}">
              <c16:uniqueId val="{00000000-9E53-42BA-AFC0-72D5DCB25606}"/>
            </c:ext>
          </c:extLst>
        </c:ser>
        <c:ser>
          <c:idx val="1"/>
          <c:order val="1"/>
          <c:tx>
            <c:strRef>
              <c:f>Overview!$T$14</c:f>
              <c:strCache>
                <c:ptCount val="1"/>
                <c:pt idx="0">
                  <c:v>Retaining wall only</c:v>
                </c:pt>
              </c:strCache>
            </c:strRef>
          </c:tx>
          <c:spPr>
            <a:solidFill>
              <a:srgbClr val="EB6834"/>
            </a:solidFill>
            <a:ln w="12700">
              <a:solidFill>
                <a:srgbClr val="FFFFFF"/>
              </a:solidFill>
              <a:prstDash val="solid"/>
            </a:ln>
          </c:spPr>
          <c:invertIfNegative val="1"/>
          <c:cat>
            <c:strRef>
              <c:f>Overview!$R$15:$R$22</c:f>
              <c:strCache>
                <c:ptCount val="8"/>
                <c:pt idx="0">
                  <c:v>0-0.5k</c:v>
                </c:pt>
                <c:pt idx="1">
                  <c:v>0.5-1k</c:v>
                </c:pt>
                <c:pt idx="2">
                  <c:v>1-2.5k</c:v>
                </c:pt>
                <c:pt idx="3">
                  <c:v>2.5-5k</c:v>
                </c:pt>
                <c:pt idx="4">
                  <c:v>5-10k</c:v>
                </c:pt>
                <c:pt idx="5">
                  <c:v>10-25k</c:v>
                </c:pt>
                <c:pt idx="6">
                  <c:v>25-50k</c:v>
                </c:pt>
                <c:pt idx="7">
                  <c:v>over 50k</c:v>
                </c:pt>
              </c:strCache>
            </c:strRef>
          </c:cat>
          <c:val>
            <c:numRef>
              <c:f>Overview!$T$15:$T$22</c:f>
              <c:numCache>
                <c:formatCode>#,##0</c:formatCode>
                <c:ptCount val="8"/>
                <c:pt idx="0">
                  <c:v>0</c:v>
                </c:pt>
                <c:pt idx="1">
                  <c:v>0</c:v>
                </c:pt>
                <c:pt idx="2">
                  <c:v>0</c:v>
                </c:pt>
                <c:pt idx="3">
                  <c:v>0</c:v>
                </c:pt>
                <c:pt idx="4">
                  <c:v>1</c:v>
                </c:pt>
                <c:pt idx="5">
                  <c:v>146</c:v>
                </c:pt>
                <c:pt idx="6">
                  <c:v>246</c:v>
                </c:pt>
                <c:pt idx="7">
                  <c:v>42</c:v>
                </c:pt>
              </c:numCache>
            </c:numRef>
          </c:val>
          <c:extLst>
            <c:ext xmlns:c14="http://schemas.microsoft.com/office/drawing/2007/8/2/chart" uri="{6F2FDCE9-48DA-4B69-8628-5D25D57E5C99}">
              <c14:invertSolidFillFmt>
                <c14:spPr xmlns:c14="http://schemas.microsoft.com/office/drawing/2007/8/2/chart">
                  <a:solidFill>
                    <a:srgbClr val="FFFFFF"/>
                  </a:solidFill>
                  <a:ln w="12700">
                    <a:solidFill>
                      <a:srgbClr val="FFFFFF"/>
                    </a:solidFill>
                    <a:prstDash val="solid"/>
                  </a:ln>
                </c14:spPr>
              </c14:invertSolidFillFmt>
            </c:ext>
            <c:ext xmlns:c16="http://schemas.microsoft.com/office/drawing/2014/chart" uri="{C3380CC4-5D6E-409C-BE32-E72D297353CC}">
              <c16:uniqueId val="{00000001-9E53-42BA-AFC0-72D5DCB25606}"/>
            </c:ext>
          </c:extLst>
        </c:ser>
        <c:ser>
          <c:idx val="2"/>
          <c:order val="2"/>
          <c:tx>
            <c:strRef>
              <c:f>Overview!$U$14</c:f>
              <c:strCache>
                <c:ptCount val="1"/>
                <c:pt idx="0">
                  <c:v>Both</c:v>
                </c:pt>
              </c:strCache>
            </c:strRef>
          </c:tx>
          <c:spPr>
            <a:solidFill>
              <a:srgbClr val="1BAF7A"/>
            </a:solidFill>
            <a:ln w="12700">
              <a:solidFill>
                <a:srgbClr val="FFFFFF"/>
              </a:solidFill>
              <a:prstDash val="solid"/>
            </a:ln>
          </c:spPr>
          <c:invertIfNegative val="1"/>
          <c:cat>
            <c:strRef>
              <c:f>Overview!$R$15:$R$22</c:f>
              <c:strCache>
                <c:ptCount val="8"/>
                <c:pt idx="0">
                  <c:v>0-0.5k</c:v>
                </c:pt>
                <c:pt idx="1">
                  <c:v>0.5-1k</c:v>
                </c:pt>
                <c:pt idx="2">
                  <c:v>1-2.5k</c:v>
                </c:pt>
                <c:pt idx="3">
                  <c:v>2.5-5k</c:v>
                </c:pt>
                <c:pt idx="4">
                  <c:v>5-10k</c:v>
                </c:pt>
                <c:pt idx="5">
                  <c:v>10-25k</c:v>
                </c:pt>
                <c:pt idx="6">
                  <c:v>25-50k</c:v>
                </c:pt>
                <c:pt idx="7">
                  <c:v>over 50k</c:v>
                </c:pt>
              </c:strCache>
            </c:strRef>
          </c:cat>
          <c:val>
            <c:numRef>
              <c:f>Overview!$U$15:$U$22</c:f>
              <c:numCache>
                <c:formatCode>#,##0</c:formatCode>
                <c:ptCount val="8"/>
                <c:pt idx="0">
                  <c:v>0</c:v>
                </c:pt>
                <c:pt idx="1">
                  <c:v>0</c:v>
                </c:pt>
                <c:pt idx="2">
                  <c:v>0</c:v>
                </c:pt>
                <c:pt idx="3">
                  <c:v>0</c:v>
                </c:pt>
                <c:pt idx="4">
                  <c:v>1</c:v>
                </c:pt>
                <c:pt idx="5">
                  <c:v>77</c:v>
                </c:pt>
                <c:pt idx="6">
                  <c:v>42</c:v>
                </c:pt>
                <c:pt idx="7">
                  <c:v>13</c:v>
                </c:pt>
              </c:numCache>
            </c:numRef>
          </c:val>
          <c:extLst>
            <c:ext xmlns:c14="http://schemas.microsoft.com/office/drawing/2007/8/2/chart" uri="{6F2FDCE9-48DA-4B69-8628-5D25D57E5C99}">
              <c14:invertSolidFillFmt>
                <c14:spPr xmlns:c14="http://schemas.microsoft.com/office/drawing/2007/8/2/chart">
                  <a:solidFill>
                    <a:srgbClr val="FFFFFF"/>
                  </a:solidFill>
                  <a:ln w="12700">
                    <a:solidFill>
                      <a:srgbClr val="FFFFFF"/>
                    </a:solidFill>
                    <a:prstDash val="solid"/>
                  </a:ln>
                </c14:spPr>
              </c14:invertSolidFillFmt>
            </c:ext>
            <c:ext xmlns:c16="http://schemas.microsoft.com/office/drawing/2014/chart" uri="{C3380CC4-5D6E-409C-BE32-E72D297353CC}">
              <c16:uniqueId val="{00000002-9E53-42BA-AFC0-72D5DCB25606}"/>
            </c:ext>
          </c:extLst>
        </c:ser>
        <c:dLbls>
          <c:showLegendKey val="0"/>
          <c:showVal val="0"/>
          <c:showCatName val="0"/>
          <c:showSerName val="0"/>
          <c:showPercent val="0"/>
          <c:showBubbleSize val="0"/>
        </c:dLbls>
        <c:gapWidth val="8"/>
        <c:overlap val="100"/>
        <c:axId val="10"/>
        <c:axId val="100"/>
      </c:barChart>
      <c:catAx>
        <c:axId val="10"/>
        <c:scaling>
          <c:orientation val="minMax"/>
        </c:scaling>
        <c:delete val="0"/>
        <c:axPos val="b"/>
        <c:numFmt formatCode="General" sourceLinked="1"/>
        <c:majorTickMark val="out"/>
        <c:minorTickMark val="none"/>
        <c:tickLblPos val="low"/>
        <c:crossAx val="100"/>
        <c:crosses val="autoZero"/>
        <c:auto val="1"/>
        <c:lblAlgn val="ctr"/>
        <c:lblOffset val="100"/>
        <c:noMultiLvlLbl val="1"/>
      </c:catAx>
      <c:valAx>
        <c:axId val="100"/>
        <c:scaling>
          <c:orientation val="minMax"/>
        </c:scaling>
        <c:delete val="0"/>
        <c:axPos val="l"/>
        <c:majorGridlines/>
        <c:numFmt formatCode="#,##0" sourceLinked="1"/>
        <c:majorTickMark val="out"/>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NZ"/>
              <a:t>Claims by land cover cap ($)</a:t>
            </a:r>
          </a:p>
        </c:rich>
      </c:tx>
      <c:overlay val="0"/>
    </c:title>
    <c:autoTitleDeleted val="0"/>
    <c:plotArea>
      <c:layout/>
      <c:barChart>
        <c:barDir val="col"/>
        <c:grouping val="stacked"/>
        <c:varyColors val="1"/>
        <c:ser>
          <c:idx val="0"/>
          <c:order val="0"/>
          <c:tx>
            <c:strRef>
              <c:f>Overview!$S$25</c:f>
              <c:strCache>
                <c:ptCount val="1"/>
                <c:pt idx="0">
                  <c:v>Liquefaction only</c:v>
                </c:pt>
              </c:strCache>
            </c:strRef>
          </c:tx>
          <c:spPr>
            <a:solidFill>
              <a:srgbClr val="2A78D6"/>
            </a:solidFill>
            <a:ln w="12700">
              <a:solidFill>
                <a:srgbClr val="FFFFFF"/>
              </a:solidFill>
              <a:prstDash val="solid"/>
            </a:ln>
          </c:spPr>
          <c:invertIfNegative val="1"/>
          <c:cat>
            <c:strRef>
              <c:f>Overview!$R$26:$R$32</c:f>
              <c:strCache>
                <c:ptCount val="7"/>
                <c:pt idx="0">
                  <c:v>0-100k</c:v>
                </c:pt>
                <c:pt idx="1">
                  <c:v>100-250k</c:v>
                </c:pt>
                <c:pt idx="2">
                  <c:v>250-500k</c:v>
                </c:pt>
                <c:pt idx="3">
                  <c:v>500-750k</c:v>
                </c:pt>
                <c:pt idx="4">
                  <c:v>750k-1m</c:v>
                </c:pt>
                <c:pt idx="5">
                  <c:v>1-2m</c:v>
                </c:pt>
                <c:pt idx="6">
                  <c:v>over 2m</c:v>
                </c:pt>
              </c:strCache>
            </c:strRef>
          </c:cat>
          <c:val>
            <c:numRef>
              <c:f>Overview!$S$26:$S$32</c:f>
              <c:numCache>
                <c:formatCode>#,##0</c:formatCode>
                <c:ptCount val="7"/>
                <c:pt idx="0">
                  <c:v>1</c:v>
                </c:pt>
                <c:pt idx="1">
                  <c:v>104</c:v>
                </c:pt>
                <c:pt idx="2">
                  <c:v>660</c:v>
                </c:pt>
                <c:pt idx="3">
                  <c:v>537</c:v>
                </c:pt>
                <c:pt idx="4">
                  <c:v>221</c:v>
                </c:pt>
                <c:pt idx="5">
                  <c:v>128</c:v>
                </c:pt>
                <c:pt idx="6">
                  <c:v>65</c:v>
                </c:pt>
              </c:numCache>
            </c:numRef>
          </c:val>
          <c:extLst>
            <c:ext xmlns:c14="http://schemas.microsoft.com/office/drawing/2007/8/2/chart" uri="{6F2FDCE9-48DA-4B69-8628-5D25D57E5C99}">
              <c14:invertSolidFillFmt>
                <c14:spPr xmlns:c14="http://schemas.microsoft.com/office/drawing/2007/8/2/chart">
                  <a:solidFill>
                    <a:srgbClr val="FFFFFF"/>
                  </a:solidFill>
                  <a:ln w="12700">
                    <a:solidFill>
                      <a:srgbClr val="FFFFFF"/>
                    </a:solidFill>
                    <a:prstDash val="solid"/>
                  </a:ln>
                </c14:spPr>
              </c14:invertSolidFillFmt>
            </c:ext>
            <c:ext xmlns:c16="http://schemas.microsoft.com/office/drawing/2014/chart" uri="{C3380CC4-5D6E-409C-BE32-E72D297353CC}">
              <c16:uniqueId val="{00000000-E69A-4AAE-AB31-FEBA9C86CA7E}"/>
            </c:ext>
          </c:extLst>
        </c:ser>
        <c:ser>
          <c:idx val="1"/>
          <c:order val="1"/>
          <c:tx>
            <c:strRef>
              <c:f>Overview!$T$25</c:f>
              <c:strCache>
                <c:ptCount val="1"/>
                <c:pt idx="0">
                  <c:v>Retaining wall only</c:v>
                </c:pt>
              </c:strCache>
            </c:strRef>
          </c:tx>
          <c:spPr>
            <a:solidFill>
              <a:srgbClr val="EB6834"/>
            </a:solidFill>
            <a:ln w="12700">
              <a:solidFill>
                <a:srgbClr val="FFFFFF"/>
              </a:solidFill>
              <a:prstDash val="solid"/>
            </a:ln>
          </c:spPr>
          <c:invertIfNegative val="1"/>
          <c:cat>
            <c:strRef>
              <c:f>Overview!$R$26:$R$32</c:f>
              <c:strCache>
                <c:ptCount val="7"/>
                <c:pt idx="0">
                  <c:v>0-100k</c:v>
                </c:pt>
                <c:pt idx="1">
                  <c:v>100-250k</c:v>
                </c:pt>
                <c:pt idx="2">
                  <c:v>250-500k</c:v>
                </c:pt>
                <c:pt idx="3">
                  <c:v>500-750k</c:v>
                </c:pt>
                <c:pt idx="4">
                  <c:v>750k-1m</c:v>
                </c:pt>
                <c:pt idx="5">
                  <c:v>1-2m</c:v>
                </c:pt>
                <c:pt idx="6">
                  <c:v>over 2m</c:v>
                </c:pt>
              </c:strCache>
            </c:strRef>
          </c:cat>
          <c:val>
            <c:numRef>
              <c:f>Overview!$T$26:$T$32</c:f>
              <c:numCache>
                <c:formatCode>#,##0</c:formatCode>
                <c:ptCount val="7"/>
                <c:pt idx="0">
                  <c:v>434</c:v>
                </c:pt>
                <c:pt idx="1">
                  <c:v>1</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w="12700">
                    <a:solidFill>
                      <a:srgbClr val="FFFFFF"/>
                    </a:solidFill>
                    <a:prstDash val="solid"/>
                  </a:ln>
                </c14:spPr>
              </c14:invertSolidFillFmt>
            </c:ext>
            <c:ext xmlns:c16="http://schemas.microsoft.com/office/drawing/2014/chart" uri="{C3380CC4-5D6E-409C-BE32-E72D297353CC}">
              <c16:uniqueId val="{00000001-E69A-4AAE-AB31-FEBA9C86CA7E}"/>
            </c:ext>
          </c:extLst>
        </c:ser>
        <c:ser>
          <c:idx val="2"/>
          <c:order val="2"/>
          <c:tx>
            <c:strRef>
              <c:f>Overview!$U$25</c:f>
              <c:strCache>
                <c:ptCount val="1"/>
                <c:pt idx="0">
                  <c:v>Both</c:v>
                </c:pt>
              </c:strCache>
            </c:strRef>
          </c:tx>
          <c:spPr>
            <a:solidFill>
              <a:srgbClr val="1BAF7A"/>
            </a:solidFill>
            <a:ln w="12700">
              <a:solidFill>
                <a:srgbClr val="FFFFFF"/>
              </a:solidFill>
              <a:prstDash val="solid"/>
            </a:ln>
          </c:spPr>
          <c:invertIfNegative val="1"/>
          <c:cat>
            <c:strRef>
              <c:f>Overview!$R$26:$R$32</c:f>
              <c:strCache>
                <c:ptCount val="7"/>
                <c:pt idx="0">
                  <c:v>0-100k</c:v>
                </c:pt>
                <c:pt idx="1">
                  <c:v>100-250k</c:v>
                </c:pt>
                <c:pt idx="2">
                  <c:v>250-500k</c:v>
                </c:pt>
                <c:pt idx="3">
                  <c:v>500-750k</c:v>
                </c:pt>
                <c:pt idx="4">
                  <c:v>750k-1m</c:v>
                </c:pt>
                <c:pt idx="5">
                  <c:v>1-2m</c:v>
                </c:pt>
                <c:pt idx="6">
                  <c:v>over 2m</c:v>
                </c:pt>
              </c:strCache>
            </c:strRef>
          </c:cat>
          <c:val>
            <c:numRef>
              <c:f>Overview!$U$26:$U$32</c:f>
              <c:numCache>
                <c:formatCode>#,##0</c:formatCode>
                <c:ptCount val="7"/>
                <c:pt idx="0">
                  <c:v>33</c:v>
                </c:pt>
                <c:pt idx="1">
                  <c:v>14</c:v>
                </c:pt>
                <c:pt idx="2">
                  <c:v>39</c:v>
                </c:pt>
                <c:pt idx="3">
                  <c:v>28</c:v>
                </c:pt>
                <c:pt idx="4">
                  <c:v>9</c:v>
                </c:pt>
                <c:pt idx="5">
                  <c:v>3</c:v>
                </c:pt>
                <c:pt idx="6">
                  <c:v>7</c:v>
                </c:pt>
              </c:numCache>
            </c:numRef>
          </c:val>
          <c:extLst>
            <c:ext xmlns:c14="http://schemas.microsoft.com/office/drawing/2007/8/2/chart" uri="{6F2FDCE9-48DA-4B69-8628-5D25D57E5C99}">
              <c14:invertSolidFillFmt>
                <c14:spPr xmlns:c14="http://schemas.microsoft.com/office/drawing/2007/8/2/chart">
                  <a:solidFill>
                    <a:srgbClr val="FFFFFF"/>
                  </a:solidFill>
                  <a:ln w="12700">
                    <a:solidFill>
                      <a:srgbClr val="FFFFFF"/>
                    </a:solidFill>
                    <a:prstDash val="solid"/>
                  </a:ln>
                </c14:spPr>
              </c14:invertSolidFillFmt>
            </c:ext>
            <c:ext xmlns:c16="http://schemas.microsoft.com/office/drawing/2014/chart" uri="{C3380CC4-5D6E-409C-BE32-E72D297353CC}">
              <c16:uniqueId val="{00000002-E69A-4AAE-AB31-FEBA9C86CA7E}"/>
            </c:ext>
          </c:extLst>
        </c:ser>
        <c:dLbls>
          <c:showLegendKey val="0"/>
          <c:showVal val="0"/>
          <c:showCatName val="0"/>
          <c:showSerName val="0"/>
          <c:showPercent val="0"/>
          <c:showBubbleSize val="0"/>
        </c:dLbls>
        <c:gapWidth val="8"/>
        <c:overlap val="100"/>
        <c:axId val="10"/>
        <c:axId val="100"/>
      </c:barChart>
      <c:catAx>
        <c:axId val="10"/>
        <c:scaling>
          <c:orientation val="minMax"/>
        </c:scaling>
        <c:delete val="0"/>
        <c:axPos val="b"/>
        <c:numFmt formatCode="General" sourceLinked="1"/>
        <c:majorTickMark val="out"/>
        <c:minorTickMark val="none"/>
        <c:tickLblPos val="low"/>
        <c:crossAx val="100"/>
        <c:crosses val="autoZero"/>
        <c:auto val="1"/>
        <c:lblAlgn val="ctr"/>
        <c:lblOffset val="100"/>
        <c:noMultiLvlLbl val="1"/>
      </c:catAx>
      <c:valAx>
        <c:axId val="100"/>
        <c:scaling>
          <c:orientation val="minMax"/>
        </c:scaling>
        <c:delete val="0"/>
        <c:axPos val="l"/>
        <c:majorGridlines/>
        <c:numFmt formatCode="#,##0" sourceLinked="1"/>
        <c:majorTickMark val="out"/>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NZ"/>
              <a:t>Repair cost by line ($)</a:t>
            </a:r>
          </a:p>
        </c:rich>
      </c:tx>
      <c:overlay val="0"/>
    </c:title>
    <c:autoTitleDeleted val="0"/>
    <c:plotArea>
      <c:layout/>
      <c:barChart>
        <c:barDir val="col"/>
        <c:grouping val="clustered"/>
        <c:varyColors val="1"/>
        <c:ser>
          <c:idx val="0"/>
          <c:order val="0"/>
          <c:tx>
            <c:strRef>
              <c:f>Overview!$S$35</c:f>
              <c:strCache>
                <c:ptCount val="1"/>
                <c:pt idx="0">
                  <c:v>Total ($)</c:v>
                </c:pt>
              </c:strCache>
            </c:strRef>
          </c:tx>
          <c:spPr>
            <a:solidFill>
              <a:srgbClr val="3B6E8F"/>
            </a:solidFill>
            <a:ln>
              <a:noFill/>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Overview!$R$36:$R$41</c:f>
              <c:strCache>
                <c:ptCount val="6"/>
                <c:pt idx="0">
                  <c:v>Walls replaced</c:v>
                </c:pt>
                <c:pt idx="1">
                  <c:v>New walls</c:v>
                </c:pt>
                <c:pt idx="2">
                  <c:v>Spoil cleared</c:v>
                </c:pt>
                <c:pt idx="3">
                  <c:v>Fees</c:v>
                </c:pt>
                <c:pt idx="4">
                  <c:v>Liquefaction</c:v>
                </c:pt>
                <c:pt idx="5">
                  <c:v>Crossings</c:v>
                </c:pt>
              </c:strCache>
            </c:strRef>
          </c:cat>
          <c:val>
            <c:numRef>
              <c:f>Overview!$S$36:$S$41</c:f>
              <c:numCache>
                <c:formatCode>\$#,##0;\(\$#,##0\);\-</c:formatCode>
                <c:ptCount val="6"/>
                <c:pt idx="0">
                  <c:v>12632219.9596685</c:v>
                </c:pt>
                <c:pt idx="1">
                  <c:v>1248769.0974552489</c:v>
                </c:pt>
                <c:pt idx="2">
                  <c:v>492687.66360612039</c:v>
                </c:pt>
                <c:pt idx="3">
                  <c:v>3562987.5</c:v>
                </c:pt>
                <c:pt idx="4">
                  <c:v>2932615</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9CD-4E5A-B95C-B9E1C3A0EEC0}"/>
            </c:ext>
          </c:extLst>
        </c:ser>
        <c:dLbls>
          <c:showLegendKey val="0"/>
          <c:showVal val="1"/>
          <c:showCatName val="0"/>
          <c:showSerName val="0"/>
          <c:showPercent val="1"/>
          <c:showBubbleSize val="1"/>
        </c:dLbls>
        <c:gapWidth val="8"/>
        <c:axId val="10"/>
        <c:axId val="100"/>
      </c:barChart>
      <c:catAx>
        <c:axId val="10"/>
        <c:scaling>
          <c:orientation val="minMax"/>
        </c:scaling>
        <c:delete val="0"/>
        <c:axPos val="b"/>
        <c:numFmt formatCode="General" sourceLinked="1"/>
        <c:majorTickMark val="out"/>
        <c:minorTickMark val="none"/>
        <c:tickLblPos val="low"/>
        <c:crossAx val="100"/>
        <c:crosses val="autoZero"/>
        <c:auto val="1"/>
        <c:lblAlgn val="ctr"/>
        <c:lblOffset val="100"/>
        <c:noMultiLvlLbl val="1"/>
      </c:catAx>
      <c:valAx>
        <c:axId val="100"/>
        <c:scaling>
          <c:orientation val="minMax"/>
        </c:scaling>
        <c:delete val="0"/>
        <c:axPos val="l"/>
        <c:majorGridlines/>
        <c:numFmt formatCode="\$#,##0;\(\$#,##0\);\-"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19</xdr:row>
      <xdr:rowOff>0</xdr:rowOff>
    </xdr:from>
    <xdr:ext cx="5580000" cy="32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19</xdr:row>
      <xdr:rowOff>0</xdr:rowOff>
    </xdr:from>
    <xdr:ext cx="5580000" cy="324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37</xdr:row>
      <xdr:rowOff>0</xdr:rowOff>
    </xdr:from>
    <xdr:ext cx="5580000" cy="324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0</xdr:colOff>
      <xdr:row>37</xdr:row>
      <xdr:rowOff>0</xdr:rowOff>
    </xdr:from>
    <xdr:ext cx="5580000" cy="3240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1"/>
  <sheetViews>
    <sheetView tabSelected="1" workbookViewId="0">
      <selection activeCell="B3" sqref="B3:B9"/>
    </sheetView>
  </sheetViews>
  <sheetFormatPr defaultRowHeight="15" x14ac:dyDescent="0.25"/>
  <cols>
    <col min="1" max="1" width="46" customWidth="1"/>
    <col min="2" max="2" width="18" customWidth="1"/>
    <col min="18" max="18" width="24" customWidth="1"/>
    <col min="19" max="19" width="14" customWidth="1"/>
  </cols>
  <sheetData>
    <row r="1" spans="1:22" ht="15.75" x14ac:dyDescent="0.25">
      <c r="A1" s="1" t="s">
        <v>0</v>
      </c>
      <c r="R1" s="2" t="s">
        <v>1</v>
      </c>
    </row>
    <row r="2" spans="1:22" x14ac:dyDescent="0.25">
      <c r="A2" s="3" t="s">
        <v>2</v>
      </c>
    </row>
    <row r="3" spans="1:22" x14ac:dyDescent="0.25">
      <c r="A3" s="4" t="s">
        <v>3</v>
      </c>
      <c r="B3" s="5">
        <v>4000</v>
      </c>
      <c r="R3" s="2" t="s">
        <v>4</v>
      </c>
      <c r="S3" s="2" t="s">
        <v>5</v>
      </c>
      <c r="T3" s="2" t="s">
        <v>6</v>
      </c>
      <c r="U3" s="2" t="s">
        <v>7</v>
      </c>
      <c r="V3" s="2" t="s">
        <v>8</v>
      </c>
    </row>
    <row r="4" spans="1:22" x14ac:dyDescent="0.25">
      <c r="A4" s="4" t="s">
        <v>9</v>
      </c>
      <c r="B4" s="6">
        <v>57500</v>
      </c>
      <c r="R4" s="4" t="s">
        <v>10</v>
      </c>
      <c r="S4" s="7">
        <v>849</v>
      </c>
      <c r="T4" s="7">
        <v>0</v>
      </c>
      <c r="U4" s="7">
        <v>0</v>
      </c>
      <c r="V4" s="8">
        <v>849</v>
      </c>
    </row>
    <row r="5" spans="1:22" x14ac:dyDescent="0.25">
      <c r="A5" s="4" t="s">
        <v>11</v>
      </c>
      <c r="B5" s="9">
        <v>0.1</v>
      </c>
      <c r="R5" s="4" t="s">
        <v>12</v>
      </c>
      <c r="S5" s="7">
        <v>0</v>
      </c>
      <c r="T5" s="7">
        <v>0</v>
      </c>
      <c r="U5" s="7">
        <v>0</v>
      </c>
      <c r="V5" s="8">
        <v>0</v>
      </c>
    </row>
    <row r="6" spans="1:22" x14ac:dyDescent="0.25">
      <c r="A6" s="4" t="s">
        <v>13</v>
      </c>
      <c r="B6" s="6">
        <v>500</v>
      </c>
      <c r="R6" s="4" t="s">
        <v>14</v>
      </c>
      <c r="S6" s="7">
        <v>676</v>
      </c>
      <c r="T6" s="7">
        <v>1</v>
      </c>
      <c r="U6" s="7">
        <v>0</v>
      </c>
      <c r="V6" s="8">
        <v>677</v>
      </c>
    </row>
    <row r="7" spans="1:22" x14ac:dyDescent="0.25">
      <c r="A7" s="4" t="s">
        <v>15</v>
      </c>
      <c r="B7" s="6">
        <v>5000</v>
      </c>
      <c r="R7" s="4" t="s">
        <v>16</v>
      </c>
      <c r="S7" s="7">
        <v>191</v>
      </c>
      <c r="T7" s="7">
        <v>12</v>
      </c>
      <c r="U7" s="7">
        <v>4</v>
      </c>
      <c r="V7" s="8">
        <v>207</v>
      </c>
    </row>
    <row r="8" spans="1:22" x14ac:dyDescent="0.25">
      <c r="A8" s="4" t="s">
        <v>17</v>
      </c>
      <c r="B8" s="10">
        <v>766.63750000000005</v>
      </c>
      <c r="R8" s="4" t="s">
        <v>18</v>
      </c>
      <c r="S8" s="7">
        <v>0</v>
      </c>
      <c r="T8" s="7">
        <v>59</v>
      </c>
      <c r="U8" s="7">
        <v>14</v>
      </c>
      <c r="V8" s="8">
        <v>73</v>
      </c>
    </row>
    <row r="9" spans="1:22" x14ac:dyDescent="0.25">
      <c r="A9" s="4" t="s">
        <v>19</v>
      </c>
      <c r="B9" s="9">
        <v>0.15</v>
      </c>
      <c r="R9" s="4" t="s">
        <v>20</v>
      </c>
      <c r="S9" s="7">
        <v>0</v>
      </c>
      <c r="T9" s="7">
        <v>290</v>
      </c>
      <c r="U9" s="7">
        <v>76</v>
      </c>
      <c r="V9" s="8">
        <v>366</v>
      </c>
    </row>
    <row r="10" spans="1:22" x14ac:dyDescent="0.25">
      <c r="A10" s="2" t="s">
        <v>21</v>
      </c>
      <c r="R10" s="4" t="s">
        <v>22</v>
      </c>
      <c r="S10" s="7">
        <v>0</v>
      </c>
      <c r="T10" s="7">
        <v>69</v>
      </c>
      <c r="U10" s="7">
        <v>28</v>
      </c>
      <c r="V10" s="8">
        <v>97</v>
      </c>
    </row>
    <row r="11" spans="1:22" ht="18" x14ac:dyDescent="0.25">
      <c r="A11" s="4" t="s">
        <v>23</v>
      </c>
      <c r="B11" s="11">
        <v>4388</v>
      </c>
      <c r="R11" s="4" t="s">
        <v>24</v>
      </c>
      <c r="S11" s="7">
        <v>0</v>
      </c>
      <c r="T11" s="7">
        <v>3</v>
      </c>
      <c r="U11" s="7">
        <v>11</v>
      </c>
      <c r="V11" s="8">
        <v>14</v>
      </c>
    </row>
    <row r="12" spans="1:22" ht="18" x14ac:dyDescent="0.25">
      <c r="A12" s="4" t="s">
        <v>25</v>
      </c>
      <c r="B12" s="11">
        <v>2283</v>
      </c>
    </row>
    <row r="13" spans="1:22" ht="18" x14ac:dyDescent="0.25">
      <c r="A13" s="4" t="s">
        <v>26</v>
      </c>
      <c r="B13" s="12">
        <v>13133909.548895219</v>
      </c>
    </row>
    <row r="14" spans="1:22" x14ac:dyDescent="0.25">
      <c r="A14" s="4" t="s">
        <v>27</v>
      </c>
      <c r="B14" s="13">
        <v>1225</v>
      </c>
      <c r="R14" s="2" t="s">
        <v>28</v>
      </c>
      <c r="S14" s="2" t="s">
        <v>5</v>
      </c>
      <c r="T14" s="2" t="s">
        <v>6</v>
      </c>
      <c r="U14" s="2" t="s">
        <v>7</v>
      </c>
      <c r="V14" s="2" t="s">
        <v>8</v>
      </c>
    </row>
    <row r="15" spans="1:22" x14ac:dyDescent="0.25">
      <c r="A15" s="4" t="s">
        <v>29</v>
      </c>
      <c r="B15" s="13">
        <v>20869279.220729869</v>
      </c>
      <c r="R15" s="4" t="s">
        <v>10</v>
      </c>
      <c r="S15" s="7">
        <v>635</v>
      </c>
      <c r="T15" s="7">
        <v>0</v>
      </c>
      <c r="U15" s="7">
        <v>0</v>
      </c>
      <c r="V15" s="8">
        <v>635</v>
      </c>
    </row>
    <row r="16" spans="1:22" x14ac:dyDescent="0.25">
      <c r="A16" s="4" t="s">
        <v>30</v>
      </c>
      <c r="B16" s="7">
        <v>11</v>
      </c>
      <c r="R16" s="4" t="s">
        <v>12</v>
      </c>
      <c r="S16" s="7">
        <v>849</v>
      </c>
      <c r="T16" s="7">
        <v>0</v>
      </c>
      <c r="U16" s="7">
        <v>0</v>
      </c>
      <c r="V16" s="8">
        <v>849</v>
      </c>
    </row>
    <row r="17" spans="1:22" x14ac:dyDescent="0.25">
      <c r="R17" s="4" t="s">
        <v>14</v>
      </c>
      <c r="S17" s="7">
        <v>581</v>
      </c>
      <c r="T17" s="7">
        <v>0</v>
      </c>
      <c r="U17" s="7">
        <v>0</v>
      </c>
      <c r="V17" s="8">
        <v>581</v>
      </c>
    </row>
    <row r="18" spans="1:22" x14ac:dyDescent="0.25">
      <c r="A18" s="3" t="s">
        <v>31</v>
      </c>
      <c r="R18" s="4" t="s">
        <v>16</v>
      </c>
      <c r="S18" s="7">
        <v>286</v>
      </c>
      <c r="T18" s="7">
        <v>0</v>
      </c>
      <c r="U18" s="7">
        <v>0</v>
      </c>
      <c r="V18" s="8">
        <v>286</v>
      </c>
    </row>
    <row r="19" spans="1:22" x14ac:dyDescent="0.25">
      <c r="R19" s="4" t="s">
        <v>18</v>
      </c>
      <c r="S19" s="7">
        <v>0</v>
      </c>
      <c r="T19" s="7">
        <v>1</v>
      </c>
      <c r="U19" s="7">
        <v>1</v>
      </c>
      <c r="V19" s="8">
        <v>2</v>
      </c>
    </row>
    <row r="20" spans="1:22" x14ac:dyDescent="0.25">
      <c r="R20" s="4" t="s">
        <v>20</v>
      </c>
      <c r="S20" s="7">
        <v>0</v>
      </c>
      <c r="T20" s="7">
        <v>146</v>
      </c>
      <c r="U20" s="7">
        <v>77</v>
      </c>
      <c r="V20" s="8">
        <v>223</v>
      </c>
    </row>
    <row r="21" spans="1:22" x14ac:dyDescent="0.25">
      <c r="R21" s="4" t="s">
        <v>22</v>
      </c>
      <c r="S21" s="7">
        <v>0</v>
      </c>
      <c r="T21" s="7">
        <v>246</v>
      </c>
      <c r="U21" s="7">
        <v>42</v>
      </c>
      <c r="V21" s="8">
        <v>288</v>
      </c>
    </row>
    <row r="22" spans="1:22" x14ac:dyDescent="0.25">
      <c r="R22" s="4" t="s">
        <v>24</v>
      </c>
      <c r="S22" s="7">
        <v>0</v>
      </c>
      <c r="T22" s="7">
        <v>42</v>
      </c>
      <c r="U22" s="7">
        <v>13</v>
      </c>
      <c r="V22" s="8">
        <v>55</v>
      </c>
    </row>
    <row r="25" spans="1:22" x14ac:dyDescent="0.25">
      <c r="R25" s="2" t="s">
        <v>32</v>
      </c>
      <c r="S25" s="2" t="s">
        <v>5</v>
      </c>
      <c r="T25" s="2" t="s">
        <v>6</v>
      </c>
      <c r="U25" s="2" t="s">
        <v>7</v>
      </c>
      <c r="V25" s="2" t="s">
        <v>8</v>
      </c>
    </row>
    <row r="26" spans="1:22" x14ac:dyDescent="0.25">
      <c r="R26" s="4" t="s">
        <v>33</v>
      </c>
      <c r="S26" s="7">
        <v>1</v>
      </c>
      <c r="T26" s="7">
        <v>434</v>
      </c>
      <c r="U26" s="7">
        <v>33</v>
      </c>
      <c r="V26" s="8">
        <v>468</v>
      </c>
    </row>
    <row r="27" spans="1:22" x14ac:dyDescent="0.25">
      <c r="R27" s="4" t="s">
        <v>34</v>
      </c>
      <c r="S27" s="7">
        <v>104</v>
      </c>
      <c r="T27" s="7">
        <v>1</v>
      </c>
      <c r="U27" s="7">
        <v>14</v>
      </c>
      <c r="V27" s="8">
        <v>119</v>
      </c>
    </row>
    <row r="28" spans="1:22" x14ac:dyDescent="0.25">
      <c r="R28" s="4" t="s">
        <v>35</v>
      </c>
      <c r="S28" s="7">
        <v>660</v>
      </c>
      <c r="T28" s="7">
        <v>0</v>
      </c>
      <c r="U28" s="7">
        <v>39</v>
      </c>
      <c r="V28" s="8">
        <v>699</v>
      </c>
    </row>
    <row r="29" spans="1:22" x14ac:dyDescent="0.25">
      <c r="R29" s="4" t="s">
        <v>36</v>
      </c>
      <c r="S29" s="7">
        <v>537</v>
      </c>
      <c r="T29" s="7">
        <v>0</v>
      </c>
      <c r="U29" s="7">
        <v>28</v>
      </c>
      <c r="V29" s="8">
        <v>565</v>
      </c>
    </row>
    <row r="30" spans="1:22" x14ac:dyDescent="0.25">
      <c r="R30" s="4" t="s">
        <v>37</v>
      </c>
      <c r="S30" s="7">
        <v>221</v>
      </c>
      <c r="T30" s="7">
        <v>0</v>
      </c>
      <c r="U30" s="7">
        <v>9</v>
      </c>
      <c r="V30" s="8">
        <v>230</v>
      </c>
    </row>
    <row r="31" spans="1:22" x14ac:dyDescent="0.25">
      <c r="R31" s="4" t="s">
        <v>38</v>
      </c>
      <c r="S31" s="7">
        <v>128</v>
      </c>
      <c r="T31" s="7">
        <v>0</v>
      </c>
      <c r="U31" s="7">
        <v>3</v>
      </c>
      <c r="V31" s="8">
        <v>131</v>
      </c>
    </row>
    <row r="32" spans="1:22" x14ac:dyDescent="0.25">
      <c r="R32" s="4" t="s">
        <v>39</v>
      </c>
      <c r="S32" s="7">
        <v>65</v>
      </c>
      <c r="T32" s="7">
        <v>0</v>
      </c>
      <c r="U32" s="7">
        <v>7</v>
      </c>
      <c r="V32" s="8">
        <v>72</v>
      </c>
    </row>
    <row r="35" spans="18:19" x14ac:dyDescent="0.25">
      <c r="R35" s="2" t="s">
        <v>40</v>
      </c>
      <c r="S35" s="2" t="s">
        <v>41</v>
      </c>
    </row>
    <row r="36" spans="18:19" x14ac:dyDescent="0.25">
      <c r="R36" s="4" t="s">
        <v>42</v>
      </c>
      <c r="S36" s="13">
        <v>12632219.9596685</v>
      </c>
    </row>
    <row r="37" spans="18:19" x14ac:dyDescent="0.25">
      <c r="R37" s="4" t="s">
        <v>43</v>
      </c>
      <c r="S37" s="13">
        <v>1248769.0974552489</v>
      </c>
    </row>
    <row r="38" spans="18:19" x14ac:dyDescent="0.25">
      <c r="R38" s="4" t="s">
        <v>44</v>
      </c>
      <c r="S38" s="13">
        <v>492687.66360612039</v>
      </c>
    </row>
    <row r="39" spans="18:19" x14ac:dyDescent="0.25">
      <c r="R39" s="4" t="s">
        <v>45</v>
      </c>
      <c r="S39" s="13">
        <v>3562987.5</v>
      </c>
    </row>
    <row r="40" spans="18:19" x14ac:dyDescent="0.25">
      <c r="R40" s="4" t="s">
        <v>46</v>
      </c>
      <c r="S40" s="13">
        <v>2932615</v>
      </c>
    </row>
    <row r="41" spans="18:19" x14ac:dyDescent="0.25">
      <c r="R41" s="4" t="s">
        <v>47</v>
      </c>
      <c r="S41" s="13">
        <v>0</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6"/>
  <sheetViews>
    <sheetView workbookViewId="0">
      <pane xSplit="1" ySplit="13" topLeftCell="B17" activePane="bottomRight" state="frozen"/>
      <selection pane="topRight"/>
      <selection pane="bottomLeft"/>
      <selection pane="bottomRight"/>
    </sheetView>
  </sheetViews>
  <sheetFormatPr defaultRowHeight="15" x14ac:dyDescent="0.25"/>
  <cols>
    <col min="1" max="1" width="40" customWidth="1"/>
    <col min="2" max="2" width="11" customWidth="1"/>
    <col min="3" max="3" width="19" customWidth="1"/>
    <col min="4" max="4" width="20" customWidth="1"/>
    <col min="5" max="5" width="15" customWidth="1"/>
    <col min="6" max="6" width="14" customWidth="1"/>
    <col min="7" max="7" width="15" customWidth="1"/>
    <col min="8" max="8" width="17" customWidth="1"/>
    <col min="9" max="9" width="15" customWidth="1"/>
    <col min="10" max="10" width="16" customWidth="1"/>
    <col min="11" max="11" width="12" customWidth="1"/>
    <col min="12" max="12" width="15" customWidth="1"/>
    <col min="13" max="13" width="28" customWidth="1"/>
  </cols>
  <sheetData>
    <row r="1" spans="1:13" ht="15.75" x14ac:dyDescent="0.25">
      <c r="A1" s="1" t="s">
        <v>0</v>
      </c>
    </row>
    <row r="2" spans="1:13" x14ac:dyDescent="0.25">
      <c r="A2" s="3" t="s">
        <v>48</v>
      </c>
    </row>
    <row r="3" spans="1:13" x14ac:dyDescent="0.25">
      <c r="A3" s="4" t="s">
        <v>3</v>
      </c>
      <c r="B3" s="5">
        <v>4000</v>
      </c>
    </row>
    <row r="4" spans="1:13" x14ac:dyDescent="0.25">
      <c r="A4" s="4" t="s">
        <v>9</v>
      </c>
      <c r="B4" s="6">
        <v>57500</v>
      </c>
    </row>
    <row r="5" spans="1:13" x14ac:dyDescent="0.25">
      <c r="A5" s="4" t="s">
        <v>11</v>
      </c>
      <c r="B5" s="9">
        <v>0.1</v>
      </c>
    </row>
    <row r="6" spans="1:13" x14ac:dyDescent="0.25">
      <c r="A6" s="4" t="s">
        <v>13</v>
      </c>
      <c r="B6" s="6">
        <v>500</v>
      </c>
    </row>
    <row r="7" spans="1:13" x14ac:dyDescent="0.25">
      <c r="A7" s="4" t="s">
        <v>15</v>
      </c>
      <c r="B7" s="6">
        <v>5000</v>
      </c>
    </row>
    <row r="8" spans="1:13" x14ac:dyDescent="0.25">
      <c r="A8" s="4" t="s">
        <v>17</v>
      </c>
      <c r="B8" s="10">
        <v>766.63750000000005</v>
      </c>
    </row>
    <row r="9" spans="1:13" x14ac:dyDescent="0.25">
      <c r="A9" s="4" t="s">
        <v>19</v>
      </c>
      <c r="B9" s="9">
        <v>0.15</v>
      </c>
    </row>
    <row r="12" spans="1:13" ht="30" customHeight="1" x14ac:dyDescent="0.25">
      <c r="A12" s="14" t="s">
        <v>49</v>
      </c>
      <c r="B12" s="14" t="s">
        <v>50</v>
      </c>
      <c r="C12" s="14" t="s">
        <v>51</v>
      </c>
      <c r="D12" s="14" t="s">
        <v>52</v>
      </c>
      <c r="E12" s="14" t="s">
        <v>53</v>
      </c>
      <c r="F12" s="14" t="s">
        <v>54</v>
      </c>
      <c r="G12" s="14" t="s">
        <v>55</v>
      </c>
      <c r="H12" s="14" t="s">
        <v>56</v>
      </c>
      <c r="I12" s="14" t="s">
        <v>57</v>
      </c>
      <c r="J12" s="14" t="s">
        <v>58</v>
      </c>
      <c r="K12" s="14" t="s">
        <v>59</v>
      </c>
      <c r="L12" s="14" t="s">
        <v>60</v>
      </c>
      <c r="M12" s="15" t="s">
        <v>61</v>
      </c>
    </row>
    <row r="13" spans="1:13" ht="26.1" customHeight="1" x14ac:dyDescent="0.25">
      <c r="A13" s="16"/>
      <c r="B13" s="16"/>
      <c r="C13" s="16" t="s">
        <v>62</v>
      </c>
      <c r="D13" s="16"/>
      <c r="E13" s="16" t="s">
        <v>63</v>
      </c>
      <c r="F13" s="16" t="s">
        <v>64</v>
      </c>
      <c r="G13" s="16" t="s">
        <v>65</v>
      </c>
      <c r="H13" s="16" t="s">
        <v>66</v>
      </c>
      <c r="I13" s="16"/>
      <c r="J13" s="16" t="s">
        <v>67</v>
      </c>
      <c r="K13" s="16" t="s">
        <v>68</v>
      </c>
      <c r="L13" s="16" t="s">
        <v>69</v>
      </c>
    </row>
    <row r="14" spans="1:13" x14ac:dyDescent="0.25">
      <c r="A14" s="17" t="s">
        <v>70</v>
      </c>
      <c r="B14" s="18">
        <v>1</v>
      </c>
      <c r="C14" s="19">
        <v>3.9942764338266561</v>
      </c>
      <c r="D14" s="20">
        <v>906.91537316693348</v>
      </c>
      <c r="E14" s="21">
        <f t="shared" ref="E14:E33" si="0">MIN(C14,$B$3)*D14</f>
        <v>3622.47070251579</v>
      </c>
      <c r="F14" s="22">
        <v>10148.858190354509</v>
      </c>
      <c r="G14" s="21">
        <f t="shared" ref="G14:G33" si="1">MIN(F14,$B$4*B14)</f>
        <v>10148.858190354509</v>
      </c>
      <c r="H14" s="21">
        <f t="shared" ref="H14:H33" si="2">E14+G14</f>
        <v>13771.328892870299</v>
      </c>
      <c r="I14" s="22">
        <v>19270.864628913219</v>
      </c>
      <c r="J14" s="21">
        <f t="shared" ref="J14:J33" si="3">MIN(I14,H14)</f>
        <v>13771.328892870299</v>
      </c>
      <c r="K14" s="21">
        <f t="shared" ref="K14:K33" si="4">MIN(MAX(J14*$B$5,$B$6),$B$7)*(J14&gt;0)</f>
        <v>1377.1328892870299</v>
      </c>
      <c r="L14" s="21">
        <f t="shared" ref="L14:L33" si="5">MAX(0,J14-K14)</f>
        <v>12394.196003583269</v>
      </c>
      <c r="M14" s="23" t="s">
        <v>71</v>
      </c>
    </row>
    <row r="15" spans="1:13" x14ac:dyDescent="0.25">
      <c r="A15" s="17" t="s">
        <v>72</v>
      </c>
      <c r="B15" s="18">
        <v>1</v>
      </c>
      <c r="C15" s="19">
        <v>11.619807779112611</v>
      </c>
      <c r="D15" s="20">
        <v>875.22563944310514</v>
      </c>
      <c r="E15" s="21">
        <f t="shared" si="0"/>
        <v>10169.953693679801</v>
      </c>
      <c r="F15" s="22">
        <v>20611.85976716434</v>
      </c>
      <c r="G15" s="21">
        <f t="shared" si="1"/>
        <v>20611.85976716434</v>
      </c>
      <c r="H15" s="21">
        <f t="shared" si="2"/>
        <v>30781.81346084414</v>
      </c>
      <c r="I15" s="22">
        <v>62488.212630795249</v>
      </c>
      <c r="J15" s="21">
        <f t="shared" si="3"/>
        <v>30781.81346084414</v>
      </c>
      <c r="K15" s="21">
        <f t="shared" si="4"/>
        <v>3078.1813460844141</v>
      </c>
      <c r="L15" s="21">
        <f t="shared" si="5"/>
        <v>27703.632114759726</v>
      </c>
      <c r="M15" s="23" t="s">
        <v>71</v>
      </c>
    </row>
    <row r="16" spans="1:13" x14ac:dyDescent="0.25">
      <c r="A16" s="17" t="s">
        <v>73</v>
      </c>
      <c r="B16" s="18">
        <v>1</v>
      </c>
      <c r="C16" s="19">
        <v>5.2549106743273128</v>
      </c>
      <c r="D16" s="20">
        <v>1033.806982141251</v>
      </c>
      <c r="E16" s="21">
        <f t="shared" si="0"/>
        <v>5432.5633456481655</v>
      </c>
      <c r="F16" s="22">
        <v>0</v>
      </c>
      <c r="G16" s="21">
        <f t="shared" si="1"/>
        <v>0</v>
      </c>
      <c r="H16" s="21">
        <f t="shared" si="2"/>
        <v>5432.5633456481655</v>
      </c>
      <c r="I16" s="22">
        <v>13180.26851261497</v>
      </c>
      <c r="J16" s="21">
        <f t="shared" si="3"/>
        <v>5432.5633456481655</v>
      </c>
      <c r="K16" s="21">
        <f t="shared" si="4"/>
        <v>543.2563345648166</v>
      </c>
      <c r="L16" s="21">
        <f t="shared" si="5"/>
        <v>4889.3070110833487</v>
      </c>
      <c r="M16" s="23" t="s">
        <v>71</v>
      </c>
    </row>
    <row r="17" spans="1:13" x14ac:dyDescent="0.25">
      <c r="A17" s="17" t="s">
        <v>74</v>
      </c>
      <c r="B17" s="18">
        <v>1</v>
      </c>
      <c r="C17" s="19">
        <v>83.996930440628617</v>
      </c>
      <c r="D17" s="20">
        <v>952.51889142543325</v>
      </c>
      <c r="E17" s="21">
        <f t="shared" si="0"/>
        <v>80008.663066446796</v>
      </c>
      <c r="F17" s="22">
        <v>0</v>
      </c>
      <c r="G17" s="21">
        <f t="shared" si="1"/>
        <v>0</v>
      </c>
      <c r="H17" s="21">
        <f t="shared" si="2"/>
        <v>80008.663066446796</v>
      </c>
      <c r="I17" s="22">
        <v>80862.946113265134</v>
      </c>
      <c r="J17" s="21">
        <f t="shared" si="3"/>
        <v>80008.663066446796</v>
      </c>
      <c r="K17" s="21">
        <f t="shared" si="4"/>
        <v>5000</v>
      </c>
      <c r="L17" s="21">
        <f t="shared" si="5"/>
        <v>75008.663066446796</v>
      </c>
      <c r="M17" s="23" t="s">
        <v>71</v>
      </c>
    </row>
    <row r="18" spans="1:13" x14ac:dyDescent="0.25">
      <c r="A18" s="17" t="s">
        <v>75</v>
      </c>
      <c r="B18" s="18">
        <v>5</v>
      </c>
      <c r="C18" s="19">
        <v>31.561857958260369</v>
      </c>
      <c r="D18" s="20">
        <v>1215.2551141016179</v>
      </c>
      <c r="E18" s="21">
        <f t="shared" si="0"/>
        <v>38355.709294324763</v>
      </c>
      <c r="F18" s="22">
        <v>0</v>
      </c>
      <c r="G18" s="21">
        <f t="shared" si="1"/>
        <v>0</v>
      </c>
      <c r="H18" s="21">
        <f t="shared" si="2"/>
        <v>38355.709294324763</v>
      </c>
      <c r="I18" s="22">
        <v>35022.687291089023</v>
      </c>
      <c r="J18" s="21">
        <f t="shared" si="3"/>
        <v>35022.687291089023</v>
      </c>
      <c r="K18" s="21">
        <f t="shared" si="4"/>
        <v>3502.2687291089023</v>
      </c>
      <c r="L18" s="21">
        <f t="shared" si="5"/>
        <v>31520.418561980121</v>
      </c>
      <c r="M18" s="23" t="s">
        <v>76</v>
      </c>
    </row>
    <row r="19" spans="1:13" x14ac:dyDescent="0.25">
      <c r="A19" s="17" t="s">
        <v>77</v>
      </c>
      <c r="B19" s="18">
        <v>1</v>
      </c>
      <c r="C19" s="19">
        <v>356.37881374621043</v>
      </c>
      <c r="D19" s="20">
        <v>1845.7350030036689</v>
      </c>
      <c r="E19" s="21">
        <f t="shared" si="0"/>
        <v>657780.85086030571</v>
      </c>
      <c r="F19" s="22">
        <v>0</v>
      </c>
      <c r="G19" s="21">
        <f t="shared" si="1"/>
        <v>0</v>
      </c>
      <c r="H19" s="21">
        <f t="shared" si="2"/>
        <v>657780.85086030571</v>
      </c>
      <c r="I19" s="22">
        <v>13021.69635199619</v>
      </c>
      <c r="J19" s="21">
        <f t="shared" si="3"/>
        <v>13021.69635199619</v>
      </c>
      <c r="K19" s="21">
        <f t="shared" si="4"/>
        <v>1302.1696351996191</v>
      </c>
      <c r="L19" s="21">
        <f t="shared" si="5"/>
        <v>11719.52671679657</v>
      </c>
      <c r="M19" s="23" t="s">
        <v>76</v>
      </c>
    </row>
    <row r="20" spans="1:13" x14ac:dyDescent="0.25">
      <c r="A20" s="17" t="s">
        <v>78</v>
      </c>
      <c r="B20" s="18">
        <v>4</v>
      </c>
      <c r="C20" s="19">
        <v>336.60416330967479</v>
      </c>
      <c r="D20" s="20">
        <v>1750.1057406341131</v>
      </c>
      <c r="E20" s="21">
        <f t="shared" si="0"/>
        <v>589092.87852960441</v>
      </c>
      <c r="F20" s="22">
        <v>0</v>
      </c>
      <c r="G20" s="21">
        <f t="shared" si="1"/>
        <v>0</v>
      </c>
      <c r="H20" s="21">
        <f t="shared" si="2"/>
        <v>589092.87852960441</v>
      </c>
      <c r="I20" s="22">
        <v>25993.904907969561</v>
      </c>
      <c r="J20" s="21">
        <f t="shared" si="3"/>
        <v>25993.904907969561</v>
      </c>
      <c r="K20" s="21">
        <f t="shared" si="4"/>
        <v>2599.3904907969563</v>
      </c>
      <c r="L20" s="21">
        <f t="shared" si="5"/>
        <v>23394.514417172606</v>
      </c>
      <c r="M20" s="23" t="s">
        <v>76</v>
      </c>
    </row>
    <row r="21" spans="1:13" x14ac:dyDescent="0.25">
      <c r="A21" s="17" t="s">
        <v>79</v>
      </c>
      <c r="B21" s="18">
        <v>9</v>
      </c>
      <c r="C21" s="19">
        <v>34.126501138411797</v>
      </c>
      <c r="D21" s="20">
        <v>2173.3145795779442</v>
      </c>
      <c r="E21" s="21">
        <f t="shared" si="0"/>
        <v>74167.622474093674</v>
      </c>
      <c r="F21" s="22">
        <v>0</v>
      </c>
      <c r="G21" s="21">
        <f t="shared" si="1"/>
        <v>0</v>
      </c>
      <c r="H21" s="21">
        <f t="shared" si="2"/>
        <v>74167.622474093674</v>
      </c>
      <c r="I21" s="22">
        <v>31894.317701227541</v>
      </c>
      <c r="J21" s="21">
        <f t="shared" si="3"/>
        <v>31894.317701227541</v>
      </c>
      <c r="K21" s="21">
        <f t="shared" si="4"/>
        <v>3189.4317701227542</v>
      </c>
      <c r="L21" s="21">
        <f t="shared" si="5"/>
        <v>28704.885931104785</v>
      </c>
      <c r="M21" s="23" t="s">
        <v>76</v>
      </c>
    </row>
    <row r="22" spans="1:13" x14ac:dyDescent="0.25">
      <c r="A22" s="17" t="s">
        <v>80</v>
      </c>
      <c r="B22" s="18">
        <v>1</v>
      </c>
      <c r="C22" s="19">
        <v>0</v>
      </c>
      <c r="D22" s="20">
        <v>1125.800303002638</v>
      </c>
      <c r="E22" s="21">
        <f t="shared" si="0"/>
        <v>0</v>
      </c>
      <c r="F22" s="22">
        <v>6586.8791678171683</v>
      </c>
      <c r="G22" s="21">
        <f t="shared" si="1"/>
        <v>6586.8791678171683</v>
      </c>
      <c r="H22" s="21">
        <f t="shared" si="2"/>
        <v>6586.8791678171683</v>
      </c>
      <c r="I22" s="22">
        <v>13769.255001380599</v>
      </c>
      <c r="J22" s="21">
        <f t="shared" si="3"/>
        <v>6586.8791678171683</v>
      </c>
      <c r="K22" s="21">
        <f t="shared" si="4"/>
        <v>658.68791678171692</v>
      </c>
      <c r="L22" s="21">
        <f t="shared" si="5"/>
        <v>5928.1912510354514</v>
      </c>
      <c r="M22" s="23" t="s">
        <v>81</v>
      </c>
    </row>
    <row r="23" spans="1:13" x14ac:dyDescent="0.25">
      <c r="A23" s="17" t="s">
        <v>82</v>
      </c>
      <c r="B23" s="18">
        <v>2</v>
      </c>
      <c r="C23" s="19">
        <v>0</v>
      </c>
      <c r="D23" s="20">
        <v>990.55497726184637</v>
      </c>
      <c r="E23" s="21">
        <f t="shared" si="0"/>
        <v>0</v>
      </c>
      <c r="F23" s="22">
        <v>14005.118833566539</v>
      </c>
      <c r="G23" s="21">
        <f t="shared" si="1"/>
        <v>14005.118833566539</v>
      </c>
      <c r="H23" s="21">
        <f t="shared" si="2"/>
        <v>14005.118833566539</v>
      </c>
      <c r="I23" s="22">
        <v>23804.69973029384</v>
      </c>
      <c r="J23" s="21">
        <f t="shared" si="3"/>
        <v>14005.118833566539</v>
      </c>
      <c r="K23" s="21">
        <f t="shared" si="4"/>
        <v>1400.5118833566539</v>
      </c>
      <c r="L23" s="21">
        <f t="shared" si="5"/>
        <v>12604.606950209885</v>
      </c>
      <c r="M23" s="23" t="s">
        <v>81</v>
      </c>
    </row>
    <row r="24" spans="1:13" x14ac:dyDescent="0.25">
      <c r="A24" s="17" t="s">
        <v>83</v>
      </c>
      <c r="B24" s="18">
        <v>1</v>
      </c>
      <c r="C24" s="19">
        <v>0</v>
      </c>
      <c r="D24" s="20">
        <v>909.01246737492193</v>
      </c>
      <c r="E24" s="21">
        <f t="shared" si="0"/>
        <v>0</v>
      </c>
      <c r="F24" s="22">
        <v>12561.541850591309</v>
      </c>
      <c r="G24" s="21">
        <f t="shared" si="1"/>
        <v>12561.541850591309</v>
      </c>
      <c r="H24" s="21">
        <f t="shared" si="2"/>
        <v>12561.541850591309</v>
      </c>
      <c r="I24" s="22">
        <v>23032.73524278052</v>
      </c>
      <c r="J24" s="21">
        <f t="shared" si="3"/>
        <v>12561.541850591309</v>
      </c>
      <c r="K24" s="21">
        <f t="shared" si="4"/>
        <v>1256.1541850591311</v>
      </c>
      <c r="L24" s="21">
        <f t="shared" si="5"/>
        <v>11305.387665532178</v>
      </c>
      <c r="M24" s="23" t="s">
        <v>81</v>
      </c>
    </row>
    <row r="25" spans="1:13" x14ac:dyDescent="0.25">
      <c r="A25" s="17" t="s">
        <v>84</v>
      </c>
      <c r="B25" s="18">
        <v>1</v>
      </c>
      <c r="C25" s="19">
        <v>472.24589069780149</v>
      </c>
      <c r="D25" s="20">
        <v>1669.7246529851329</v>
      </c>
      <c r="E25" s="21">
        <f t="shared" si="0"/>
        <v>788520.60596904159</v>
      </c>
      <c r="F25" s="22">
        <v>19240.151943106332</v>
      </c>
      <c r="G25" s="21">
        <f t="shared" si="1"/>
        <v>19240.151943106332</v>
      </c>
      <c r="H25" s="21">
        <f t="shared" si="2"/>
        <v>807760.75791214791</v>
      </c>
      <c r="I25" s="22">
        <v>30975.841448313979</v>
      </c>
      <c r="J25" s="21">
        <f t="shared" si="3"/>
        <v>30975.841448313979</v>
      </c>
      <c r="K25" s="21">
        <f t="shared" si="4"/>
        <v>3097.5841448313981</v>
      </c>
      <c r="L25" s="21">
        <f t="shared" si="5"/>
        <v>27878.25730348258</v>
      </c>
      <c r="M25" s="23" t="s">
        <v>81</v>
      </c>
    </row>
    <row r="26" spans="1:13" x14ac:dyDescent="0.25">
      <c r="A26" s="17" t="s">
        <v>85</v>
      </c>
      <c r="B26" s="18">
        <v>29</v>
      </c>
      <c r="C26" s="19">
        <v>2824.0331829879019</v>
      </c>
      <c r="D26" s="20">
        <v>1908.0278100029909</v>
      </c>
      <c r="E26" s="21">
        <f t="shared" si="0"/>
        <v>5388333.8495121822</v>
      </c>
      <c r="F26" s="22">
        <v>0</v>
      </c>
      <c r="G26" s="21">
        <f t="shared" si="1"/>
        <v>0</v>
      </c>
      <c r="H26" s="21">
        <f t="shared" si="2"/>
        <v>5388333.8495121822</v>
      </c>
      <c r="I26" s="22">
        <v>4600</v>
      </c>
      <c r="J26" s="21">
        <f t="shared" si="3"/>
        <v>4600</v>
      </c>
      <c r="K26" s="21">
        <f t="shared" si="4"/>
        <v>500</v>
      </c>
      <c r="L26" s="21">
        <f t="shared" si="5"/>
        <v>4100</v>
      </c>
      <c r="M26" s="23" t="s">
        <v>86</v>
      </c>
    </row>
    <row r="27" spans="1:13" x14ac:dyDescent="0.25">
      <c r="A27" s="17" t="s">
        <v>87</v>
      </c>
      <c r="B27" s="18">
        <v>1</v>
      </c>
      <c r="C27" s="19">
        <v>286.03721014738181</v>
      </c>
      <c r="D27" s="20">
        <v>1891.519728815266</v>
      </c>
      <c r="E27" s="21">
        <f t="shared" si="0"/>
        <v>541045.02616905095</v>
      </c>
      <c r="F27" s="22">
        <v>0</v>
      </c>
      <c r="G27" s="21">
        <f t="shared" si="1"/>
        <v>0</v>
      </c>
      <c r="H27" s="21">
        <f t="shared" si="2"/>
        <v>541045.02616905095</v>
      </c>
      <c r="I27" s="22">
        <v>1725</v>
      </c>
      <c r="J27" s="21">
        <f t="shared" si="3"/>
        <v>1725</v>
      </c>
      <c r="K27" s="21">
        <f t="shared" si="4"/>
        <v>500</v>
      </c>
      <c r="L27" s="21">
        <f t="shared" si="5"/>
        <v>1225</v>
      </c>
      <c r="M27" s="23" t="s">
        <v>86</v>
      </c>
    </row>
    <row r="28" spans="1:13" x14ac:dyDescent="0.25">
      <c r="A28" s="17" t="s">
        <v>88</v>
      </c>
      <c r="B28" s="18">
        <v>1</v>
      </c>
      <c r="C28" s="19">
        <v>192.39875607672829</v>
      </c>
      <c r="D28" s="20">
        <v>1603.4755566331351</v>
      </c>
      <c r="E28" s="21">
        <f t="shared" si="0"/>
        <v>308506.7024956547</v>
      </c>
      <c r="F28" s="22">
        <v>0</v>
      </c>
      <c r="G28" s="21">
        <f t="shared" si="1"/>
        <v>0</v>
      </c>
      <c r="H28" s="21">
        <f t="shared" si="2"/>
        <v>308506.7024956547</v>
      </c>
      <c r="I28" s="22">
        <v>1725</v>
      </c>
      <c r="J28" s="21">
        <f t="shared" si="3"/>
        <v>1725</v>
      </c>
      <c r="K28" s="21">
        <f t="shared" si="4"/>
        <v>500</v>
      </c>
      <c r="L28" s="21">
        <f t="shared" si="5"/>
        <v>1225</v>
      </c>
      <c r="M28" s="23" t="s">
        <v>86</v>
      </c>
    </row>
    <row r="29" spans="1:13" x14ac:dyDescent="0.25">
      <c r="A29" s="17" t="s">
        <v>89</v>
      </c>
      <c r="B29" s="18">
        <v>5</v>
      </c>
      <c r="C29" s="19">
        <v>212.76841823417311</v>
      </c>
      <c r="D29" s="20">
        <v>1832.0434684261929</v>
      </c>
      <c r="E29" s="21">
        <f t="shared" si="0"/>
        <v>389800.99091328937</v>
      </c>
      <c r="F29" s="22">
        <v>0</v>
      </c>
      <c r="G29" s="21">
        <f t="shared" si="1"/>
        <v>0</v>
      </c>
      <c r="H29" s="21">
        <f t="shared" si="2"/>
        <v>389800.99091328937</v>
      </c>
      <c r="I29" s="22">
        <v>575</v>
      </c>
      <c r="J29" s="21">
        <f t="shared" si="3"/>
        <v>575</v>
      </c>
      <c r="K29" s="21">
        <f t="shared" si="4"/>
        <v>500</v>
      </c>
      <c r="L29" s="21">
        <f t="shared" si="5"/>
        <v>75</v>
      </c>
      <c r="M29" s="23" t="s">
        <v>86</v>
      </c>
    </row>
    <row r="30" spans="1:13" x14ac:dyDescent="0.25">
      <c r="A30" s="17" t="s">
        <v>90</v>
      </c>
      <c r="B30" s="18">
        <v>3</v>
      </c>
      <c r="C30" s="19">
        <v>0</v>
      </c>
      <c r="D30" s="20">
        <v>816.21672944007196</v>
      </c>
      <c r="E30" s="21">
        <f t="shared" si="0"/>
        <v>0</v>
      </c>
      <c r="F30" s="22">
        <v>0</v>
      </c>
      <c r="G30" s="21">
        <f t="shared" si="1"/>
        <v>0</v>
      </c>
      <c r="H30" s="21">
        <f t="shared" si="2"/>
        <v>0</v>
      </c>
      <c r="I30" s="22">
        <v>0</v>
      </c>
      <c r="J30" s="21">
        <f t="shared" si="3"/>
        <v>0</v>
      </c>
      <c r="K30" s="21">
        <f t="shared" si="4"/>
        <v>0</v>
      </c>
      <c r="L30" s="21">
        <f t="shared" si="5"/>
        <v>0</v>
      </c>
      <c r="M30" s="23" t="s">
        <v>91</v>
      </c>
    </row>
    <row r="31" spans="1:13" x14ac:dyDescent="0.25">
      <c r="A31" s="17" t="s">
        <v>92</v>
      </c>
      <c r="B31" s="18">
        <v>2</v>
      </c>
      <c r="C31" s="19">
        <v>0</v>
      </c>
      <c r="D31" s="20">
        <v>1691.829478035887</v>
      </c>
      <c r="E31" s="21">
        <f t="shared" si="0"/>
        <v>0</v>
      </c>
      <c r="F31" s="22">
        <v>0</v>
      </c>
      <c r="G31" s="21">
        <f t="shared" si="1"/>
        <v>0</v>
      </c>
      <c r="H31" s="21">
        <f t="shared" si="2"/>
        <v>0</v>
      </c>
      <c r="I31" s="22">
        <v>230</v>
      </c>
      <c r="J31" s="21">
        <f t="shared" si="3"/>
        <v>0</v>
      </c>
      <c r="K31" s="21">
        <f t="shared" si="4"/>
        <v>0</v>
      </c>
      <c r="L31" s="21">
        <f t="shared" si="5"/>
        <v>0</v>
      </c>
      <c r="M31" s="23" t="s">
        <v>93</v>
      </c>
    </row>
    <row r="32" spans="1:13" x14ac:dyDescent="0.25">
      <c r="A32" s="17" t="s">
        <v>94</v>
      </c>
      <c r="B32" s="18">
        <v>1</v>
      </c>
      <c r="C32" s="19">
        <v>0</v>
      </c>
      <c r="D32" s="20">
        <v>1982.6858712322751</v>
      </c>
      <c r="E32" s="21">
        <f t="shared" si="0"/>
        <v>0</v>
      </c>
      <c r="F32" s="22">
        <v>0</v>
      </c>
      <c r="G32" s="21">
        <f t="shared" si="1"/>
        <v>0</v>
      </c>
      <c r="H32" s="21">
        <f t="shared" si="2"/>
        <v>0</v>
      </c>
      <c r="I32" s="22">
        <v>230</v>
      </c>
      <c r="J32" s="21">
        <f t="shared" si="3"/>
        <v>0</v>
      </c>
      <c r="K32" s="21">
        <f t="shared" si="4"/>
        <v>0</v>
      </c>
      <c r="L32" s="21">
        <f t="shared" si="5"/>
        <v>0</v>
      </c>
      <c r="M32" s="23" t="s">
        <v>93</v>
      </c>
    </row>
    <row r="33" spans="1:13" x14ac:dyDescent="0.25">
      <c r="A33" s="17" t="s">
        <v>95</v>
      </c>
      <c r="B33" s="18">
        <v>1</v>
      </c>
      <c r="C33" s="19">
        <v>0</v>
      </c>
      <c r="D33" s="20">
        <v>1772.0568097782809</v>
      </c>
      <c r="E33" s="21">
        <f t="shared" si="0"/>
        <v>0</v>
      </c>
      <c r="F33" s="22">
        <v>0</v>
      </c>
      <c r="G33" s="21">
        <f t="shared" si="1"/>
        <v>0</v>
      </c>
      <c r="H33" s="21">
        <f t="shared" si="2"/>
        <v>0</v>
      </c>
      <c r="I33" s="22">
        <v>230</v>
      </c>
      <c r="J33" s="21">
        <f t="shared" si="3"/>
        <v>0</v>
      </c>
      <c r="K33" s="21">
        <f t="shared" si="4"/>
        <v>0</v>
      </c>
      <c r="L33" s="21">
        <f t="shared" si="5"/>
        <v>0</v>
      </c>
      <c r="M33" s="23" t="s">
        <v>93</v>
      </c>
    </row>
    <row r="34" spans="1:13" x14ac:dyDescent="0.25">
      <c r="A34" s="2" t="s">
        <v>96</v>
      </c>
      <c r="E34" s="24">
        <f>SUM(E14:E33)</f>
        <v>8874837.8870258369</v>
      </c>
      <c r="F34" s="24">
        <f>SUM(F14:F33)</f>
        <v>83154.409752600201</v>
      </c>
      <c r="H34" s="24">
        <f>SUM(H14:H33)</f>
        <v>8957992.2967784368</v>
      </c>
      <c r="I34" s="24">
        <f>SUM(I14:I33)</f>
        <v>382632.42956063978</v>
      </c>
      <c r="J34" s="24">
        <f>SUM(J14:J33)</f>
        <v>308681.35631838068</v>
      </c>
      <c r="K34" s="24">
        <f>SUM(K14:K33)</f>
        <v>29004.769325193392</v>
      </c>
      <c r="L34" s="24">
        <f>SUM(L14:L33)</f>
        <v>279676.58699318732</v>
      </c>
    </row>
    <row r="36" spans="1:13" x14ac:dyDescent="0.25">
      <c r="A36" s="3" t="s">
        <v>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6"/>
  <sheetViews>
    <sheetView workbookViewId="0">
      <selection activeCell="C3" sqref="C3"/>
    </sheetView>
  </sheetViews>
  <sheetFormatPr defaultRowHeight="15" x14ac:dyDescent="0.25"/>
  <cols>
    <col min="1" max="1" width="40" customWidth="1"/>
    <col min="2" max="2" width="11" customWidth="1"/>
    <col min="3" max="4" width="13" customWidth="1"/>
    <col min="5" max="5" width="17" customWidth="1"/>
    <col min="6" max="6" width="20" customWidth="1"/>
    <col min="7" max="7" width="22" customWidth="1"/>
    <col min="8" max="8" width="13" customWidth="1"/>
    <col min="9" max="9" width="14" customWidth="1"/>
    <col min="10" max="10" width="15" customWidth="1"/>
    <col min="11" max="11" width="22" customWidth="1"/>
    <col min="12" max="12" width="15" customWidth="1"/>
    <col min="13" max="13" width="24" customWidth="1"/>
    <col min="14" max="14" width="22" customWidth="1"/>
    <col min="15" max="15" width="20" customWidth="1"/>
    <col min="16" max="16" width="16" customWidth="1"/>
  </cols>
  <sheetData>
    <row r="1" spans="1:16" ht="15.75" x14ac:dyDescent="0.25">
      <c r="A1" s="1" t="s">
        <v>98</v>
      </c>
    </row>
    <row r="2" spans="1:16" x14ac:dyDescent="0.25">
      <c r="A2" s="3" t="s">
        <v>99</v>
      </c>
    </row>
    <row r="3" spans="1:16" x14ac:dyDescent="0.25">
      <c r="B3" t="s">
        <v>133</v>
      </c>
      <c r="C3" t="s">
        <v>135</v>
      </c>
      <c r="E3" t="s">
        <v>127</v>
      </c>
      <c r="F3" t="s">
        <v>128</v>
      </c>
      <c r="G3" t="s">
        <v>129</v>
      </c>
      <c r="K3" t="s">
        <v>130</v>
      </c>
      <c r="L3" t="s">
        <v>131</v>
      </c>
      <c r="M3" t="s">
        <v>132</v>
      </c>
      <c r="N3" t="s">
        <v>134</v>
      </c>
    </row>
    <row r="4" spans="1:16" ht="44.1" customHeight="1" x14ac:dyDescent="0.25">
      <c r="A4" s="14" t="s">
        <v>49</v>
      </c>
      <c r="B4" s="14" t="s">
        <v>100</v>
      </c>
      <c r="C4" s="14" t="s">
        <v>101</v>
      </c>
      <c r="D4" s="14" t="s">
        <v>102</v>
      </c>
      <c r="E4" s="14" t="s">
        <v>103</v>
      </c>
      <c r="F4" s="14" t="s">
        <v>104</v>
      </c>
      <c r="G4" s="14" t="s">
        <v>105</v>
      </c>
      <c r="H4" s="14" t="s">
        <v>106</v>
      </c>
      <c r="I4" s="14" t="s">
        <v>107</v>
      </c>
      <c r="J4" s="14" t="s">
        <v>108</v>
      </c>
      <c r="K4" s="14" t="s">
        <v>109</v>
      </c>
      <c r="L4" s="14" t="s">
        <v>110</v>
      </c>
      <c r="M4" s="14" t="s">
        <v>111</v>
      </c>
      <c r="N4" s="14" t="s">
        <v>112</v>
      </c>
      <c r="O4" s="14" t="s">
        <v>113</v>
      </c>
      <c r="P4" s="14" t="s">
        <v>114</v>
      </c>
    </row>
    <row r="5" spans="1:16" x14ac:dyDescent="0.25">
      <c r="A5" s="4" t="s">
        <v>70</v>
      </c>
      <c r="B5" s="25" t="s">
        <v>115</v>
      </c>
      <c r="C5" s="26">
        <v>1.75</v>
      </c>
      <c r="D5" s="27">
        <v>6.3131082899843607</v>
      </c>
      <c r="E5" s="28">
        <v>798.8</v>
      </c>
      <c r="F5" s="29">
        <v>12787.56131984668</v>
      </c>
      <c r="G5" s="27">
        <v>0</v>
      </c>
      <c r="H5" s="25"/>
      <c r="I5" s="26">
        <v>0</v>
      </c>
      <c r="J5" s="27">
        <v>0</v>
      </c>
      <c r="K5" s="29">
        <v>0</v>
      </c>
      <c r="L5" s="29">
        <v>325.05330906654109</v>
      </c>
      <c r="M5" s="29">
        <v>6158.2499999999991</v>
      </c>
      <c r="N5" s="29">
        <v>0</v>
      </c>
      <c r="O5" s="29">
        <v>0</v>
      </c>
      <c r="P5" s="30">
        <f t="shared" ref="P5:P24" si="0">F5+K5+L5+M5+N5+O5</f>
        <v>19270.864628913219</v>
      </c>
    </row>
    <row r="6" spans="1:16" x14ac:dyDescent="0.25">
      <c r="A6" s="4" t="s">
        <v>72</v>
      </c>
      <c r="B6" s="25" t="s">
        <v>116</v>
      </c>
      <c r="C6" s="26">
        <v>2.75</v>
      </c>
      <c r="D6" s="27">
        <v>8.1592189735846219</v>
      </c>
      <c r="E6" s="28">
        <v>798.8</v>
      </c>
      <c r="F6" s="29">
        <v>28444.366478686781</v>
      </c>
      <c r="G6" s="27">
        <v>3.460588805527991</v>
      </c>
      <c r="H6" s="25" t="s">
        <v>116</v>
      </c>
      <c r="I6" s="26">
        <v>2.75</v>
      </c>
      <c r="J6" s="27">
        <v>8.1592189735846219</v>
      </c>
      <c r="K6" s="29">
        <v>27299.096152108468</v>
      </c>
      <c r="L6" s="29">
        <v>0</v>
      </c>
      <c r="M6" s="29">
        <v>6744.7499999999991</v>
      </c>
      <c r="N6" s="29">
        <v>0</v>
      </c>
      <c r="O6" s="29">
        <v>0</v>
      </c>
      <c r="P6" s="30">
        <f t="shared" si="0"/>
        <v>62488.212630795249</v>
      </c>
    </row>
    <row r="7" spans="1:16" x14ac:dyDescent="0.25">
      <c r="A7" s="4" t="s">
        <v>73</v>
      </c>
      <c r="B7" s="25" t="s">
        <v>117</v>
      </c>
      <c r="C7" s="26">
        <v>0</v>
      </c>
      <c r="D7" s="27">
        <v>0</v>
      </c>
      <c r="E7" s="28">
        <v>0</v>
      </c>
      <c r="F7" s="29">
        <v>0</v>
      </c>
      <c r="G7" s="27">
        <v>5.2549106743273128</v>
      </c>
      <c r="H7" s="25" t="s">
        <v>118</v>
      </c>
      <c r="I7" s="26">
        <v>0.75</v>
      </c>
      <c r="J7" s="27">
        <v>7.2418854619888453</v>
      </c>
      <c r="K7" s="29">
        <v>6320.8392496378437</v>
      </c>
      <c r="L7" s="29">
        <v>407.92926297712228</v>
      </c>
      <c r="M7" s="29">
        <v>6451.4999999999991</v>
      </c>
      <c r="N7" s="29">
        <v>0</v>
      </c>
      <c r="O7" s="29">
        <v>0</v>
      </c>
      <c r="P7" s="30">
        <f t="shared" si="0"/>
        <v>13180.268512614966</v>
      </c>
    </row>
    <row r="8" spans="1:16" x14ac:dyDescent="0.25">
      <c r="A8" s="4" t="s">
        <v>74</v>
      </c>
      <c r="B8" s="25" t="s">
        <v>117</v>
      </c>
      <c r="C8" s="26">
        <v>0</v>
      </c>
      <c r="D8" s="27">
        <v>0</v>
      </c>
      <c r="E8" s="28">
        <v>0</v>
      </c>
      <c r="F8" s="29">
        <v>0</v>
      </c>
      <c r="G8" s="27">
        <v>83.996930440628617</v>
      </c>
      <c r="H8" s="25" t="s">
        <v>116</v>
      </c>
      <c r="I8" s="26">
        <v>2.75</v>
      </c>
      <c r="J8" s="27">
        <v>16.961244573005221</v>
      </c>
      <c r="K8" s="29">
        <v>56748.893240509999</v>
      </c>
      <c r="L8" s="29">
        <v>17369.302872755139</v>
      </c>
      <c r="M8" s="29">
        <v>6744.7499999999991</v>
      </c>
      <c r="N8" s="29">
        <v>0</v>
      </c>
      <c r="O8" s="29">
        <v>0</v>
      </c>
      <c r="P8" s="30">
        <f t="shared" si="0"/>
        <v>80862.946113265134</v>
      </c>
    </row>
    <row r="9" spans="1:16" x14ac:dyDescent="0.25">
      <c r="A9" s="4" t="s">
        <v>75</v>
      </c>
      <c r="B9" s="25" t="s">
        <v>117</v>
      </c>
      <c r="C9" s="26">
        <v>0</v>
      </c>
      <c r="D9" s="27">
        <v>0</v>
      </c>
      <c r="E9" s="28">
        <v>0</v>
      </c>
      <c r="F9" s="29">
        <v>0</v>
      </c>
      <c r="G9" s="27">
        <v>31.561857958260369</v>
      </c>
      <c r="H9" s="25" t="s">
        <v>115</v>
      </c>
      <c r="I9" s="26">
        <v>1.75</v>
      </c>
      <c r="J9" s="27">
        <v>11.945043481096921</v>
      </c>
      <c r="K9" s="29">
        <v>26538.487951500909</v>
      </c>
      <c r="L9" s="29">
        <v>1216.1993395881179</v>
      </c>
      <c r="M9" s="29">
        <v>7037.9999999999991</v>
      </c>
      <c r="N9" s="29">
        <v>230</v>
      </c>
      <c r="O9" s="29">
        <v>0</v>
      </c>
      <c r="P9" s="30">
        <f t="shared" si="0"/>
        <v>35022.687291089023</v>
      </c>
    </row>
    <row r="10" spans="1:16" x14ac:dyDescent="0.25">
      <c r="A10" s="4" t="s">
        <v>77</v>
      </c>
      <c r="B10" s="25" t="s">
        <v>117</v>
      </c>
      <c r="C10" s="26">
        <v>0</v>
      </c>
      <c r="D10" s="27">
        <v>0</v>
      </c>
      <c r="E10" s="28">
        <v>0</v>
      </c>
      <c r="F10" s="29">
        <v>0</v>
      </c>
      <c r="G10" s="27">
        <v>5.9031144651106144</v>
      </c>
      <c r="H10" s="25" t="s">
        <v>118</v>
      </c>
      <c r="I10" s="26">
        <v>0.75</v>
      </c>
      <c r="J10" s="27">
        <v>7.4360193436913633</v>
      </c>
      <c r="K10" s="29">
        <v>6195.2697181044177</v>
      </c>
      <c r="L10" s="29">
        <v>93.176633891772653</v>
      </c>
      <c r="M10" s="29">
        <v>6158.2499999999991</v>
      </c>
      <c r="N10" s="29">
        <v>575</v>
      </c>
      <c r="O10" s="29">
        <v>0</v>
      </c>
      <c r="P10" s="30">
        <f t="shared" si="0"/>
        <v>13021.69635199619</v>
      </c>
    </row>
    <row r="11" spans="1:16" x14ac:dyDescent="0.25">
      <c r="A11" s="4" t="s">
        <v>78</v>
      </c>
      <c r="B11" s="25" t="s">
        <v>117</v>
      </c>
      <c r="C11" s="26">
        <v>0</v>
      </c>
      <c r="D11" s="27">
        <v>0</v>
      </c>
      <c r="E11" s="28">
        <v>0</v>
      </c>
      <c r="F11" s="29">
        <v>0</v>
      </c>
      <c r="G11" s="27">
        <v>15.489832208423021</v>
      </c>
      <c r="H11" s="25" t="s">
        <v>115</v>
      </c>
      <c r="I11" s="26">
        <v>1.75</v>
      </c>
      <c r="J11" s="27">
        <v>9.5659378739657193</v>
      </c>
      <c r="K11" s="29">
        <v>17710.66017289853</v>
      </c>
      <c r="L11" s="29">
        <v>693.2447350710288</v>
      </c>
      <c r="M11" s="29">
        <v>5865</v>
      </c>
      <c r="N11" s="29">
        <v>1725</v>
      </c>
      <c r="O11" s="29">
        <v>0</v>
      </c>
      <c r="P11" s="30">
        <f t="shared" si="0"/>
        <v>25993.904907969558</v>
      </c>
    </row>
    <row r="12" spans="1:16" x14ac:dyDescent="0.25">
      <c r="A12" s="4" t="s">
        <v>79</v>
      </c>
      <c r="B12" s="25" t="s">
        <v>117</v>
      </c>
      <c r="C12" s="26">
        <v>0</v>
      </c>
      <c r="D12" s="27">
        <v>0</v>
      </c>
      <c r="E12" s="28">
        <v>0</v>
      </c>
      <c r="F12" s="29">
        <v>0</v>
      </c>
      <c r="G12" s="27">
        <v>34.126501138411797</v>
      </c>
      <c r="H12" s="25" t="s">
        <v>115</v>
      </c>
      <c r="I12" s="26">
        <v>1.75</v>
      </c>
      <c r="J12" s="27">
        <v>12.26153752499035</v>
      </c>
      <c r="K12" s="29">
        <v>23836.441708243721</v>
      </c>
      <c r="L12" s="29">
        <v>1669.6259929838241</v>
      </c>
      <c r="M12" s="29">
        <v>6158.2499999999991</v>
      </c>
      <c r="N12" s="29">
        <v>230</v>
      </c>
      <c r="O12" s="29">
        <v>0</v>
      </c>
      <c r="P12" s="30">
        <f t="shared" si="0"/>
        <v>31894.317701227545</v>
      </c>
    </row>
    <row r="13" spans="1:16" x14ac:dyDescent="0.25">
      <c r="A13" s="4" t="s">
        <v>80</v>
      </c>
      <c r="B13" s="25" t="s">
        <v>118</v>
      </c>
      <c r="C13" s="26">
        <v>0.75</v>
      </c>
      <c r="D13" s="27">
        <v>6.2389397375914317</v>
      </c>
      <c r="E13" s="28">
        <v>1224.08</v>
      </c>
      <c r="F13" s="29">
        <v>7904.2550013806012</v>
      </c>
      <c r="G13" s="27">
        <v>0</v>
      </c>
      <c r="H13" s="25"/>
      <c r="I13" s="26">
        <v>0</v>
      </c>
      <c r="J13" s="27">
        <v>0</v>
      </c>
      <c r="K13" s="29">
        <v>0</v>
      </c>
      <c r="L13" s="29">
        <v>0</v>
      </c>
      <c r="M13" s="29">
        <v>5865</v>
      </c>
      <c r="N13" s="29">
        <v>0</v>
      </c>
      <c r="O13" s="29">
        <v>0</v>
      </c>
      <c r="P13" s="30">
        <f t="shared" si="0"/>
        <v>13769.255001380601</v>
      </c>
    </row>
    <row r="14" spans="1:16" x14ac:dyDescent="0.25">
      <c r="A14" s="4" t="s">
        <v>82</v>
      </c>
      <c r="B14" s="25" t="s">
        <v>115</v>
      </c>
      <c r="C14" s="26">
        <v>1.75</v>
      </c>
      <c r="D14" s="27">
        <v>8.7118994227779822</v>
      </c>
      <c r="E14" s="28">
        <v>798.8</v>
      </c>
      <c r="F14" s="29">
        <v>17646.44973029384</v>
      </c>
      <c r="G14" s="27">
        <v>0</v>
      </c>
      <c r="H14" s="25"/>
      <c r="I14" s="26">
        <v>0</v>
      </c>
      <c r="J14" s="27">
        <v>0</v>
      </c>
      <c r="K14" s="29">
        <v>0</v>
      </c>
      <c r="L14" s="29">
        <v>0</v>
      </c>
      <c r="M14" s="29">
        <v>6158.2499999999991</v>
      </c>
      <c r="N14" s="29">
        <v>0</v>
      </c>
      <c r="O14" s="29">
        <v>0</v>
      </c>
      <c r="P14" s="30">
        <f t="shared" si="0"/>
        <v>23804.69973029384</v>
      </c>
    </row>
    <row r="15" spans="1:16" x14ac:dyDescent="0.25">
      <c r="A15" s="4" t="s">
        <v>83</v>
      </c>
      <c r="B15" s="25" t="s">
        <v>115</v>
      </c>
      <c r="C15" s="26">
        <v>1.75</v>
      </c>
      <c r="D15" s="27">
        <v>9.7043796168467402</v>
      </c>
      <c r="E15" s="28">
        <v>643.19000000000005</v>
      </c>
      <c r="F15" s="29">
        <v>16581.23524278052</v>
      </c>
      <c r="G15" s="27">
        <v>0</v>
      </c>
      <c r="H15" s="25"/>
      <c r="I15" s="26">
        <v>0</v>
      </c>
      <c r="J15" s="27">
        <v>0</v>
      </c>
      <c r="K15" s="29">
        <v>0</v>
      </c>
      <c r="L15" s="29">
        <v>0</v>
      </c>
      <c r="M15" s="29">
        <v>6451.4999999999991</v>
      </c>
      <c r="N15" s="29">
        <v>0</v>
      </c>
      <c r="O15" s="29">
        <v>0</v>
      </c>
      <c r="P15" s="30">
        <f t="shared" si="0"/>
        <v>23032.73524278052</v>
      </c>
    </row>
    <row r="16" spans="1:16" x14ac:dyDescent="0.25">
      <c r="A16" s="4" t="s">
        <v>84</v>
      </c>
      <c r="B16" s="25" t="s">
        <v>115</v>
      </c>
      <c r="C16" s="26">
        <v>1.75</v>
      </c>
      <c r="D16" s="27">
        <v>10.865609631974189</v>
      </c>
      <c r="E16" s="28">
        <v>879.87</v>
      </c>
      <c r="F16" s="29">
        <v>24242.591448313979</v>
      </c>
      <c r="G16" s="27">
        <v>0</v>
      </c>
      <c r="H16" s="25"/>
      <c r="I16" s="26">
        <v>0</v>
      </c>
      <c r="J16" s="27">
        <v>0</v>
      </c>
      <c r="K16" s="29">
        <v>0</v>
      </c>
      <c r="L16" s="29">
        <v>0</v>
      </c>
      <c r="M16" s="29">
        <v>6158.2499999999991</v>
      </c>
      <c r="N16" s="29">
        <v>575</v>
      </c>
      <c r="O16" s="29">
        <v>0</v>
      </c>
      <c r="P16" s="30">
        <f t="shared" si="0"/>
        <v>30975.841448313979</v>
      </c>
    </row>
    <row r="17" spans="1:16" x14ac:dyDescent="0.25">
      <c r="A17" s="4" t="s">
        <v>85</v>
      </c>
      <c r="B17" s="25" t="s">
        <v>117</v>
      </c>
      <c r="C17" s="26">
        <v>0</v>
      </c>
      <c r="D17" s="27">
        <v>0</v>
      </c>
      <c r="E17" s="28">
        <v>0</v>
      </c>
      <c r="F17" s="29">
        <v>0</v>
      </c>
      <c r="G17" s="27">
        <v>0</v>
      </c>
      <c r="H17" s="25"/>
      <c r="I17" s="26">
        <v>0</v>
      </c>
      <c r="J17" s="27">
        <v>0</v>
      </c>
      <c r="K17" s="29">
        <v>0</v>
      </c>
      <c r="L17" s="29">
        <v>0</v>
      </c>
      <c r="M17" s="29">
        <v>0</v>
      </c>
      <c r="N17" s="29">
        <v>4600</v>
      </c>
      <c r="O17" s="29">
        <v>0</v>
      </c>
      <c r="P17" s="30">
        <f t="shared" si="0"/>
        <v>4600</v>
      </c>
    </row>
    <row r="18" spans="1:16" x14ac:dyDescent="0.25">
      <c r="A18" s="4" t="s">
        <v>87</v>
      </c>
      <c r="B18" s="25" t="s">
        <v>117</v>
      </c>
      <c r="C18" s="26">
        <v>0</v>
      </c>
      <c r="D18" s="27">
        <v>0</v>
      </c>
      <c r="E18" s="28">
        <v>0</v>
      </c>
      <c r="F18" s="29">
        <v>0</v>
      </c>
      <c r="G18" s="27">
        <v>0</v>
      </c>
      <c r="H18" s="25"/>
      <c r="I18" s="26">
        <v>0</v>
      </c>
      <c r="J18" s="27">
        <v>0</v>
      </c>
      <c r="K18" s="29">
        <v>0</v>
      </c>
      <c r="L18" s="29">
        <v>0</v>
      </c>
      <c r="M18" s="29">
        <v>0</v>
      </c>
      <c r="N18" s="29">
        <v>1725</v>
      </c>
      <c r="O18" s="29">
        <v>0</v>
      </c>
      <c r="P18" s="30">
        <f t="shared" si="0"/>
        <v>1725</v>
      </c>
    </row>
    <row r="19" spans="1:16" x14ac:dyDescent="0.25">
      <c r="A19" s="4" t="s">
        <v>88</v>
      </c>
      <c r="B19" s="25" t="s">
        <v>117</v>
      </c>
      <c r="C19" s="26">
        <v>0</v>
      </c>
      <c r="D19" s="27">
        <v>0</v>
      </c>
      <c r="E19" s="28">
        <v>0</v>
      </c>
      <c r="F19" s="29">
        <v>0</v>
      </c>
      <c r="G19" s="27">
        <v>0</v>
      </c>
      <c r="H19" s="25"/>
      <c r="I19" s="26">
        <v>0</v>
      </c>
      <c r="J19" s="27">
        <v>0</v>
      </c>
      <c r="K19" s="29">
        <v>0</v>
      </c>
      <c r="L19" s="29">
        <v>0</v>
      </c>
      <c r="M19" s="29">
        <v>0</v>
      </c>
      <c r="N19" s="29">
        <v>1725</v>
      </c>
      <c r="O19" s="29">
        <v>0</v>
      </c>
      <c r="P19" s="30">
        <f t="shared" si="0"/>
        <v>1725</v>
      </c>
    </row>
    <row r="20" spans="1:16" x14ac:dyDescent="0.25">
      <c r="A20" s="4" t="s">
        <v>89</v>
      </c>
      <c r="B20" s="25" t="s">
        <v>117</v>
      </c>
      <c r="C20" s="26">
        <v>0</v>
      </c>
      <c r="D20" s="27">
        <v>0</v>
      </c>
      <c r="E20" s="28">
        <v>0</v>
      </c>
      <c r="F20" s="29">
        <v>0</v>
      </c>
      <c r="G20" s="27">
        <v>0</v>
      </c>
      <c r="H20" s="25"/>
      <c r="I20" s="26">
        <v>0</v>
      </c>
      <c r="J20" s="27">
        <v>0</v>
      </c>
      <c r="K20" s="29">
        <v>0</v>
      </c>
      <c r="L20" s="29">
        <v>0</v>
      </c>
      <c r="M20" s="29">
        <v>0</v>
      </c>
      <c r="N20" s="29">
        <v>575</v>
      </c>
      <c r="O20" s="29">
        <v>0</v>
      </c>
      <c r="P20" s="30">
        <f t="shared" si="0"/>
        <v>575</v>
      </c>
    </row>
    <row r="21" spans="1:16" x14ac:dyDescent="0.25">
      <c r="A21" s="4" t="s">
        <v>90</v>
      </c>
      <c r="B21" s="25" t="s">
        <v>117</v>
      </c>
      <c r="C21" s="26">
        <v>0</v>
      </c>
      <c r="D21" s="27">
        <v>0</v>
      </c>
      <c r="E21" s="28">
        <v>0</v>
      </c>
      <c r="F21" s="29">
        <v>0</v>
      </c>
      <c r="G21" s="27">
        <v>0</v>
      </c>
      <c r="H21" s="25"/>
      <c r="I21" s="26">
        <v>0</v>
      </c>
      <c r="J21" s="27">
        <v>0</v>
      </c>
      <c r="K21" s="29">
        <v>0</v>
      </c>
      <c r="L21" s="29">
        <v>0</v>
      </c>
      <c r="M21" s="29">
        <v>0</v>
      </c>
      <c r="N21" s="29">
        <v>0</v>
      </c>
      <c r="O21" s="29">
        <v>0</v>
      </c>
      <c r="P21" s="30">
        <f t="shared" si="0"/>
        <v>0</v>
      </c>
    </row>
    <row r="22" spans="1:16" x14ac:dyDescent="0.25">
      <c r="A22" s="4" t="s">
        <v>92</v>
      </c>
      <c r="B22" s="25" t="s">
        <v>117</v>
      </c>
      <c r="C22" s="26">
        <v>0</v>
      </c>
      <c r="D22" s="27">
        <v>0</v>
      </c>
      <c r="E22" s="28">
        <v>0</v>
      </c>
      <c r="F22" s="29">
        <v>0</v>
      </c>
      <c r="G22" s="27">
        <v>0</v>
      </c>
      <c r="H22" s="25"/>
      <c r="I22" s="26">
        <v>0</v>
      </c>
      <c r="J22" s="27">
        <v>0</v>
      </c>
      <c r="K22" s="29">
        <v>0</v>
      </c>
      <c r="L22" s="29">
        <v>0</v>
      </c>
      <c r="M22" s="29">
        <v>0</v>
      </c>
      <c r="N22" s="29">
        <v>230</v>
      </c>
      <c r="O22" s="29">
        <v>0</v>
      </c>
      <c r="P22" s="30">
        <f t="shared" si="0"/>
        <v>230</v>
      </c>
    </row>
    <row r="23" spans="1:16" x14ac:dyDescent="0.25">
      <c r="A23" s="4" t="s">
        <v>94</v>
      </c>
      <c r="B23" s="25" t="s">
        <v>117</v>
      </c>
      <c r="C23" s="26">
        <v>0</v>
      </c>
      <c r="D23" s="27">
        <v>0</v>
      </c>
      <c r="E23" s="28">
        <v>0</v>
      </c>
      <c r="F23" s="29">
        <v>0</v>
      </c>
      <c r="G23" s="27">
        <v>0</v>
      </c>
      <c r="H23" s="25"/>
      <c r="I23" s="26">
        <v>0</v>
      </c>
      <c r="J23" s="27">
        <v>0</v>
      </c>
      <c r="K23" s="29">
        <v>0</v>
      </c>
      <c r="L23" s="29">
        <v>0</v>
      </c>
      <c r="M23" s="29">
        <v>0</v>
      </c>
      <c r="N23" s="29">
        <v>230</v>
      </c>
      <c r="O23" s="29">
        <v>0</v>
      </c>
      <c r="P23" s="30">
        <f t="shared" si="0"/>
        <v>230</v>
      </c>
    </row>
    <row r="24" spans="1:16" x14ac:dyDescent="0.25">
      <c r="A24" s="4" t="s">
        <v>95</v>
      </c>
      <c r="B24" s="25" t="s">
        <v>117</v>
      </c>
      <c r="C24" s="26">
        <v>0</v>
      </c>
      <c r="D24" s="27">
        <v>0</v>
      </c>
      <c r="E24" s="28">
        <v>0</v>
      </c>
      <c r="F24" s="29">
        <v>0</v>
      </c>
      <c r="G24" s="27">
        <v>0</v>
      </c>
      <c r="H24" s="25"/>
      <c r="I24" s="26">
        <v>0</v>
      </c>
      <c r="J24" s="27">
        <v>0</v>
      </c>
      <c r="K24" s="29">
        <v>0</v>
      </c>
      <c r="L24" s="29">
        <v>0</v>
      </c>
      <c r="M24" s="29">
        <v>0</v>
      </c>
      <c r="N24" s="29">
        <v>230</v>
      </c>
      <c r="O24" s="29">
        <v>0</v>
      </c>
      <c r="P24" s="30">
        <f t="shared" si="0"/>
        <v>230</v>
      </c>
    </row>
    <row r="27" spans="1:16" x14ac:dyDescent="0.25">
      <c r="A27" s="31"/>
    </row>
    <row r="28" spans="1:16" ht="24" x14ac:dyDescent="0.25">
      <c r="A28" s="32" t="s">
        <v>119</v>
      </c>
    </row>
    <row r="29" spans="1:16" ht="96" x14ac:dyDescent="0.25">
      <c r="A29" s="31" t="s">
        <v>120</v>
      </c>
    </row>
    <row r="30" spans="1:16" ht="108" x14ac:dyDescent="0.25">
      <c r="A30" s="31" t="s">
        <v>121</v>
      </c>
    </row>
    <row r="31" spans="1:16" ht="60" x14ac:dyDescent="0.25">
      <c r="A31" s="31" t="s">
        <v>122</v>
      </c>
    </row>
    <row r="32" spans="1:16" ht="72" x14ac:dyDescent="0.25">
      <c r="A32" s="31" t="s">
        <v>123</v>
      </c>
    </row>
    <row r="33" spans="1:1" ht="60" x14ac:dyDescent="0.25">
      <c r="A33" s="31" t="s">
        <v>124</v>
      </c>
    </row>
    <row r="34" spans="1:1" ht="36" x14ac:dyDescent="0.25">
      <c r="A34" s="31" t="s">
        <v>125</v>
      </c>
    </row>
    <row r="35" spans="1:1" x14ac:dyDescent="0.25">
      <c r="A35" s="31"/>
    </row>
    <row r="36" spans="1:1" ht="72" x14ac:dyDescent="0.25">
      <c r="A36" s="31" t="s">
        <v>126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Calculation</vt:lpstr>
      <vt:lpstr>Repair 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Perrie Gilbert</cp:lastModifiedBy>
  <dcterms:created xsi:type="dcterms:W3CDTF">2026-09-25T01:31:37Z</dcterms:created>
  <dcterms:modified xsi:type="dcterms:W3CDTF">2026-09-25T03:50:39Z</dcterms:modified>
</cp:coreProperties>
</file>